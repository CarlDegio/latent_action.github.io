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E67" i="1" l="1"/>
  <c r="BD67" i="1"/>
  <c r="BC67" i="1"/>
  <c r="BB67" i="1"/>
  <c r="BA67" i="1"/>
  <c r="AZ67" i="1"/>
  <c r="AG67" i="1"/>
  <c r="AF67" i="1"/>
  <c r="AE67" i="1"/>
  <c r="AD67" i="1"/>
  <c r="AC67" i="1"/>
  <c r="AB67" i="1"/>
  <c r="BE66" i="1"/>
  <c r="BD66" i="1"/>
  <c r="BC66" i="1"/>
  <c r="BB66" i="1"/>
  <c r="BA66" i="1"/>
  <c r="AZ66" i="1"/>
  <c r="AG66" i="1"/>
  <c r="AF66" i="1"/>
  <c r="AE66" i="1"/>
  <c r="AD66" i="1"/>
  <c r="AC66" i="1"/>
  <c r="AB66" i="1"/>
  <c r="BE65" i="1"/>
  <c r="BD65" i="1"/>
  <c r="BC65" i="1"/>
  <c r="BB65" i="1"/>
  <c r="BA65" i="1"/>
  <c r="AZ65" i="1"/>
  <c r="AG65" i="1"/>
  <c r="AF65" i="1"/>
  <c r="AE65" i="1"/>
  <c r="AD65" i="1"/>
  <c r="AC65" i="1"/>
  <c r="AB65" i="1"/>
  <c r="BE64" i="1"/>
  <c r="BD64" i="1"/>
  <c r="BC64" i="1"/>
  <c r="BB64" i="1"/>
  <c r="BA64" i="1"/>
  <c r="AZ64" i="1"/>
  <c r="AG64" i="1"/>
  <c r="AF64" i="1"/>
  <c r="AE64" i="1"/>
  <c r="AD64" i="1"/>
  <c r="AC64" i="1"/>
  <c r="AB64" i="1"/>
  <c r="BE63" i="1"/>
  <c r="BD63" i="1"/>
  <c r="BC63" i="1"/>
  <c r="BB63" i="1"/>
  <c r="BA63" i="1"/>
  <c r="AZ63" i="1"/>
  <c r="AG63" i="1"/>
  <c r="AF63" i="1"/>
  <c r="AE63" i="1"/>
  <c r="AD63" i="1"/>
  <c r="AC63" i="1"/>
  <c r="AB63" i="1"/>
  <c r="BE62" i="1"/>
  <c r="BD62" i="1"/>
  <c r="BC62" i="1"/>
  <c r="BB62" i="1"/>
  <c r="BA62" i="1"/>
  <c r="AZ62" i="1"/>
  <c r="AG62" i="1"/>
  <c r="AF62" i="1"/>
  <c r="AE62" i="1"/>
  <c r="AD62" i="1"/>
  <c r="AC62" i="1"/>
  <c r="AB62" i="1"/>
  <c r="BE61" i="1"/>
  <c r="BD61" i="1"/>
  <c r="BC61" i="1"/>
  <c r="BB61" i="1"/>
  <c r="BA61" i="1"/>
  <c r="AZ61" i="1"/>
  <c r="AG61" i="1"/>
  <c r="AF61" i="1"/>
  <c r="AE61" i="1"/>
  <c r="AD61" i="1"/>
  <c r="AC61" i="1"/>
  <c r="AB61" i="1"/>
  <c r="BE60" i="1"/>
  <c r="BD60" i="1"/>
  <c r="BC60" i="1"/>
  <c r="BB60" i="1"/>
  <c r="BA60" i="1"/>
  <c r="AZ60" i="1"/>
  <c r="AG60" i="1"/>
  <c r="AF60" i="1"/>
  <c r="AE60" i="1"/>
  <c r="AD60" i="1"/>
  <c r="AC60" i="1"/>
  <c r="AB60" i="1"/>
  <c r="BE45" i="1"/>
  <c r="BD45" i="1"/>
  <c r="BC45" i="1"/>
  <c r="BB45" i="1"/>
  <c r="BA45" i="1"/>
  <c r="AZ45" i="1"/>
  <c r="AG45" i="1"/>
  <c r="AF45" i="1"/>
  <c r="AE45" i="1"/>
  <c r="AD45" i="1"/>
  <c r="AC45" i="1"/>
  <c r="AB45" i="1"/>
  <c r="BE44" i="1"/>
  <c r="BD44" i="1"/>
  <c r="BC44" i="1"/>
  <c r="BB44" i="1"/>
  <c r="BA44" i="1"/>
  <c r="AZ44" i="1"/>
  <c r="AG44" i="1"/>
  <c r="AF44" i="1"/>
  <c r="AE44" i="1"/>
  <c r="AD44" i="1"/>
  <c r="AC44" i="1"/>
  <c r="AB44" i="1"/>
  <c r="BE43" i="1"/>
  <c r="BD43" i="1"/>
  <c r="BC43" i="1"/>
  <c r="BB43" i="1"/>
  <c r="BA43" i="1"/>
  <c r="AZ43" i="1"/>
  <c r="AG43" i="1"/>
  <c r="AF43" i="1"/>
  <c r="AE43" i="1"/>
  <c r="AD43" i="1"/>
  <c r="AC43" i="1"/>
  <c r="AB43" i="1"/>
  <c r="BE42" i="1"/>
  <c r="BD42" i="1"/>
  <c r="BC42" i="1"/>
  <c r="BB42" i="1"/>
  <c r="BA42" i="1"/>
  <c r="AZ42" i="1"/>
  <c r="AG42" i="1"/>
  <c r="AF42" i="1"/>
  <c r="AE42" i="1"/>
  <c r="AD42" i="1"/>
  <c r="AC42" i="1"/>
  <c r="AB42" i="1"/>
  <c r="BE41" i="1"/>
  <c r="BD41" i="1"/>
  <c r="BC41" i="1"/>
  <c r="BB41" i="1"/>
  <c r="BA41" i="1"/>
  <c r="AZ41" i="1"/>
  <c r="AG41" i="1"/>
  <c r="AF41" i="1"/>
  <c r="AE41" i="1"/>
  <c r="AD41" i="1"/>
  <c r="AC41" i="1"/>
  <c r="AB41" i="1"/>
  <c r="BE40" i="1"/>
  <c r="BD40" i="1"/>
  <c r="BC40" i="1"/>
  <c r="BB40" i="1"/>
  <c r="BA40" i="1"/>
  <c r="AZ40" i="1"/>
  <c r="AG40" i="1"/>
  <c r="AF40" i="1"/>
  <c r="AE40" i="1"/>
  <c r="AD40" i="1"/>
  <c r="AC40" i="1"/>
  <c r="AB40" i="1"/>
  <c r="BE39" i="1"/>
  <c r="BD39" i="1"/>
  <c r="BC39" i="1"/>
  <c r="BB39" i="1"/>
  <c r="BA39" i="1"/>
  <c r="AZ39" i="1"/>
  <c r="AG39" i="1"/>
  <c r="AF39" i="1"/>
  <c r="AE39" i="1"/>
  <c r="AD39" i="1"/>
  <c r="AC39" i="1"/>
  <c r="AB39" i="1"/>
  <c r="BE38" i="1"/>
  <c r="BD38" i="1"/>
  <c r="BC38" i="1"/>
  <c r="BB38" i="1"/>
  <c r="BA38" i="1"/>
  <c r="AZ38" i="1"/>
  <c r="AG38" i="1"/>
  <c r="AF38" i="1"/>
  <c r="AE38" i="1"/>
  <c r="AD38" i="1"/>
  <c r="AC38" i="1"/>
  <c r="AB38" i="1"/>
  <c r="BE37" i="1"/>
  <c r="BD37" i="1"/>
  <c r="BC37" i="1"/>
  <c r="BB37" i="1"/>
  <c r="BA37" i="1"/>
  <c r="AZ37" i="1"/>
  <c r="AG37" i="1"/>
  <c r="AF37" i="1"/>
  <c r="AE37" i="1"/>
  <c r="AD37" i="1"/>
  <c r="AC37" i="1"/>
  <c r="AB37" i="1"/>
  <c r="BE36" i="1"/>
  <c r="BD36" i="1"/>
  <c r="BC36" i="1"/>
  <c r="BB36" i="1"/>
  <c r="BA36" i="1"/>
  <c r="AZ36" i="1"/>
  <c r="AG36" i="1"/>
  <c r="AF36" i="1"/>
  <c r="AE36" i="1"/>
  <c r="AD36" i="1"/>
  <c r="AC36" i="1"/>
  <c r="AB36" i="1"/>
  <c r="BE35" i="1"/>
  <c r="BD35" i="1"/>
  <c r="BC35" i="1"/>
  <c r="BB35" i="1"/>
  <c r="BA35" i="1"/>
  <c r="AZ35" i="1"/>
  <c r="AG35" i="1"/>
  <c r="AF35" i="1"/>
  <c r="AE35" i="1"/>
  <c r="AD35" i="1"/>
  <c r="AC35" i="1"/>
  <c r="AB35" i="1"/>
  <c r="BE34" i="1"/>
  <c r="BD34" i="1"/>
  <c r="BC34" i="1"/>
  <c r="BB34" i="1"/>
  <c r="BA34" i="1"/>
  <c r="AZ34" i="1"/>
  <c r="AG34" i="1"/>
  <c r="AF34" i="1"/>
  <c r="AE34" i="1"/>
  <c r="AD34" i="1"/>
  <c r="AC34" i="1"/>
  <c r="AB34" i="1"/>
  <c r="BE33" i="1"/>
  <c r="BD33" i="1"/>
  <c r="BC33" i="1"/>
  <c r="BB33" i="1"/>
  <c r="BA33" i="1"/>
  <c r="AZ33" i="1"/>
  <c r="AG33" i="1"/>
  <c r="AF33" i="1"/>
  <c r="AE33" i="1"/>
  <c r="AD33" i="1"/>
  <c r="AC33" i="1"/>
  <c r="AB33" i="1"/>
  <c r="BE32" i="1"/>
  <c r="BD32" i="1"/>
  <c r="BC32" i="1"/>
  <c r="BB32" i="1"/>
  <c r="BA32" i="1"/>
  <c r="AZ32" i="1"/>
  <c r="AG32" i="1"/>
  <c r="AF32" i="1"/>
  <c r="AE32" i="1"/>
  <c r="AD32" i="1"/>
  <c r="AC32" i="1"/>
  <c r="AB32" i="1"/>
  <c r="BE31" i="1"/>
  <c r="BD31" i="1"/>
  <c r="BC31" i="1"/>
  <c r="BB31" i="1"/>
  <c r="BA31" i="1"/>
  <c r="AZ31" i="1"/>
  <c r="AG31" i="1"/>
  <c r="AF31" i="1"/>
  <c r="AE31" i="1"/>
  <c r="AD31" i="1"/>
  <c r="AC31" i="1"/>
  <c r="AB31" i="1"/>
  <c r="BE30" i="1"/>
  <c r="BD30" i="1"/>
  <c r="BC30" i="1"/>
  <c r="BB30" i="1"/>
  <c r="BA30" i="1"/>
  <c r="AZ30" i="1"/>
  <c r="AG30" i="1"/>
  <c r="AF30" i="1"/>
  <c r="AE30" i="1"/>
  <c r="AD30" i="1"/>
  <c r="AC30" i="1"/>
  <c r="AB30" i="1"/>
  <c r="BE28" i="1"/>
  <c r="BD28" i="1"/>
  <c r="BC28" i="1"/>
  <c r="BB28" i="1"/>
  <c r="BA28" i="1"/>
  <c r="AZ28" i="1"/>
  <c r="AG28" i="1"/>
  <c r="AF28" i="1"/>
  <c r="AE28" i="1"/>
  <c r="AD28" i="1"/>
  <c r="AC28" i="1"/>
  <c r="AB28" i="1"/>
  <c r="BE27" i="1"/>
  <c r="BD27" i="1"/>
  <c r="BC27" i="1"/>
  <c r="BB27" i="1"/>
  <c r="BA27" i="1"/>
  <c r="AZ27" i="1"/>
  <c r="AG27" i="1"/>
  <c r="AF27" i="1"/>
  <c r="AE27" i="1"/>
  <c r="AD27" i="1"/>
  <c r="AC27" i="1"/>
  <c r="AB27" i="1"/>
  <c r="BE26" i="1"/>
  <c r="BD26" i="1"/>
  <c r="BC26" i="1"/>
  <c r="BB26" i="1"/>
  <c r="BA26" i="1"/>
  <c r="AZ26" i="1"/>
  <c r="AG26" i="1"/>
  <c r="AF26" i="1"/>
  <c r="AE26" i="1"/>
  <c r="AD26" i="1"/>
  <c r="AC26" i="1"/>
  <c r="AB26" i="1"/>
  <c r="BE24" i="1"/>
  <c r="BD24" i="1"/>
  <c r="BC24" i="1"/>
  <c r="BB24" i="1"/>
  <c r="BA24" i="1"/>
  <c r="AZ24" i="1"/>
  <c r="AG24" i="1"/>
  <c r="AF24" i="1"/>
  <c r="AE24" i="1"/>
  <c r="AD24" i="1"/>
  <c r="AC24" i="1"/>
  <c r="AB24" i="1"/>
  <c r="BE23" i="1"/>
  <c r="BD23" i="1"/>
  <c r="BC23" i="1"/>
  <c r="BB23" i="1"/>
  <c r="BA23" i="1"/>
  <c r="AZ23" i="1"/>
  <c r="AG23" i="1"/>
  <c r="AF23" i="1"/>
  <c r="AE23" i="1"/>
  <c r="AD23" i="1"/>
  <c r="AC23" i="1"/>
  <c r="AB23" i="1"/>
  <c r="BE22" i="1"/>
  <c r="BD22" i="1"/>
  <c r="BC22" i="1"/>
  <c r="BB22" i="1"/>
  <c r="BA22" i="1"/>
  <c r="AZ22" i="1"/>
  <c r="AG22" i="1"/>
  <c r="AF22" i="1"/>
  <c r="AE22" i="1"/>
  <c r="AD22" i="1"/>
  <c r="AC22" i="1"/>
  <c r="AB22" i="1"/>
  <c r="BE20" i="1"/>
  <c r="BD20" i="1"/>
  <c r="BC20" i="1"/>
  <c r="BB20" i="1"/>
  <c r="BA20" i="1"/>
  <c r="AZ20" i="1"/>
  <c r="AG20" i="1"/>
  <c r="AF20" i="1"/>
  <c r="AE20" i="1"/>
  <c r="AD20" i="1"/>
  <c r="AC20" i="1"/>
  <c r="AB20" i="1"/>
  <c r="BE19" i="1"/>
  <c r="BD19" i="1"/>
  <c r="BC19" i="1"/>
  <c r="BB19" i="1"/>
  <c r="BA19" i="1"/>
  <c r="AZ19" i="1"/>
  <c r="AG19" i="1"/>
  <c r="AF19" i="1"/>
  <c r="AE19" i="1"/>
  <c r="AD19" i="1"/>
  <c r="AC19" i="1"/>
  <c r="AB19" i="1"/>
  <c r="BE18" i="1"/>
  <c r="BD18" i="1"/>
  <c r="BC18" i="1"/>
  <c r="BB18" i="1"/>
  <c r="BA18" i="1"/>
  <c r="AZ18" i="1"/>
  <c r="AG18" i="1"/>
  <c r="AF18" i="1"/>
  <c r="AE18" i="1"/>
  <c r="AD18" i="1"/>
  <c r="AC18" i="1"/>
  <c r="AB18" i="1"/>
  <c r="BE17" i="1"/>
  <c r="BD17" i="1"/>
  <c r="BC17" i="1"/>
  <c r="BB17" i="1"/>
  <c r="BA17" i="1"/>
  <c r="AZ17" i="1"/>
  <c r="AG17" i="1"/>
  <c r="AF17" i="1"/>
  <c r="AE17" i="1"/>
  <c r="AD17" i="1"/>
  <c r="AC17" i="1"/>
  <c r="AB17" i="1"/>
  <c r="BE16" i="1"/>
  <c r="BD16" i="1"/>
  <c r="BC16" i="1"/>
  <c r="BB16" i="1"/>
  <c r="BA16" i="1"/>
  <c r="AZ16" i="1"/>
  <c r="AG16" i="1"/>
  <c r="AF16" i="1"/>
  <c r="AE16" i="1"/>
  <c r="AD16" i="1"/>
  <c r="AC16" i="1"/>
  <c r="AB16" i="1"/>
</calcChain>
</file>

<file path=xl/sharedStrings.xml><?xml version="1.0" encoding="utf-8"?>
<sst xmlns="http://schemas.openxmlformats.org/spreadsheetml/2006/main" count="1113" uniqueCount="488">
  <si>
    <t xml:space="preserve">Mean SSIM ratio </t>
  </si>
  <si>
    <t>SSIM(ot+1,recon)/SSIM(ot,recon)</t>
  </si>
  <si>
    <t xml:space="preserve">Mean PSNR ratio </t>
  </si>
  <si>
    <t>PSNR(ot+1,recon)/PSNR(ot,recon)</t>
  </si>
  <si>
    <t>Mean MSE ratio</t>
  </si>
  <si>
    <t>MSE(ot+1,recon)/MSE(ot,recon)</t>
  </si>
  <si>
    <t xml:space="preserve">Mean SSIM Gain </t>
  </si>
  <si>
    <t>[SSIM(ot+1,recon)-SSIM(ot,ot+1)]/[1-SSIM(ot,ot+1)]</t>
  </si>
  <si>
    <t>Mean PSNR Gain</t>
  </si>
  <si>
    <t>[PSNR(ot+1,recon)-PSNR(ot,ot+1)]/[100-PSNR(ot,ot+1)]</t>
  </si>
  <si>
    <t xml:space="preserve">Mean MSE Gain </t>
  </si>
  <si>
    <t>[MSE(ot,ot+1)-MSE(ot+1,recon)]/[MSE(ot,ot+1)]</t>
  </si>
  <si>
    <t>LC-TG</t>
  </si>
  <si>
    <t>100×(0.45SMSEGain+0.30SSSIMGain+0.25SMLP)</t>
  </si>
  <si>
    <t>LIBERO</t>
  </si>
  <si>
    <t xml:space="preserve">
</t>
  </si>
  <si>
    <t>LIBERO-Plus</t>
  </si>
  <si>
    <t>RoboTwin</t>
  </si>
  <si>
    <r>
      <rPr>
        <b/>
        <sz val="10"/>
        <color rgb="FF000000"/>
        <rFont val="等线"/>
        <charset val="134"/>
      </rPr>
      <t xml:space="preserve">Head1 DAP </t>
    </r>
    <r>
      <rPr>
        <sz val="10"/>
        <color rgb="FF000000"/>
        <rFont val="等线"/>
        <charset val="134"/>
      </rPr>
      <t xml:space="preserve"> </t>
    </r>
    <r>
      <rPr>
        <b/>
        <sz val="10"/>
        <color rgb="FF000000"/>
        <rFont val="等线"/>
        <charset val="134"/>
      </rPr>
      <t>Success (10/goal/object/spatial)</t>
    </r>
  </si>
  <si>
    <r>
      <rPr>
        <b/>
        <sz val="10"/>
        <color rgb="FF000000"/>
        <rFont val="等线"/>
        <charset val="134"/>
      </rPr>
      <t xml:space="preserve">Head2 LAP </t>
    </r>
    <r>
      <rPr>
        <sz val="10"/>
        <color rgb="FF000000"/>
        <rFont val="等线"/>
        <charset val="134"/>
      </rPr>
      <t xml:space="preserve"> </t>
    </r>
    <r>
      <rPr>
        <b/>
        <sz val="10"/>
        <color rgb="FF000000"/>
        <rFont val="等线"/>
        <charset val="134"/>
      </rPr>
      <t>Success</t>
    </r>
    <r>
      <rPr>
        <sz val="10"/>
        <color rgb="FF000000"/>
        <rFont val="等线"/>
        <charset val="134"/>
      </rPr>
      <t xml:space="preserve"> </t>
    </r>
    <r>
      <rPr>
        <b/>
        <sz val="10"/>
        <color rgb="FF000000"/>
        <rFont val="等线"/>
        <charset val="134"/>
      </rPr>
      <t>(10/goal/object/spatial)</t>
    </r>
  </si>
  <si>
    <r>
      <rPr>
        <b/>
        <sz val="10"/>
        <color rgb="FF000000"/>
        <rFont val="等线"/>
        <charset val="134"/>
      </rPr>
      <t xml:space="preserve">Head3 JAP </t>
    </r>
    <r>
      <rPr>
        <sz val="10"/>
        <color rgb="FF000000"/>
        <rFont val="等线"/>
        <charset val="134"/>
      </rPr>
      <t xml:space="preserve"> </t>
    </r>
    <r>
      <rPr>
        <b/>
        <sz val="10"/>
        <color rgb="FF000000"/>
        <rFont val="等线"/>
        <charset val="134"/>
      </rPr>
      <t>Success (10/goal/object/spatial)</t>
    </r>
  </si>
  <si>
    <r>
      <rPr>
        <b/>
        <sz val="10"/>
        <color rgb="FF000000"/>
        <rFont val="等线"/>
        <charset val="134"/>
      </rPr>
      <t>Head4 JAP-DAP Success</t>
    </r>
    <r>
      <rPr>
        <sz val="10"/>
        <color rgb="FF000000"/>
        <rFont val="等线"/>
        <charset val="134"/>
      </rPr>
      <t xml:space="preserve"> </t>
    </r>
    <r>
      <rPr>
        <b/>
        <sz val="10"/>
        <color rgb="FF000000"/>
        <rFont val="等线"/>
        <charset val="134"/>
      </rPr>
      <t>(10/goal/object/spatial)</t>
    </r>
  </si>
  <si>
    <r>
      <rPr>
        <b/>
        <sz val="10"/>
        <color rgb="FF000000"/>
        <rFont val="等线"/>
        <charset val="134"/>
      </rPr>
      <t>Head5 JAP-LAP Success</t>
    </r>
    <r>
      <rPr>
        <sz val="10"/>
        <color rgb="FF000000"/>
        <rFont val="等线"/>
        <charset val="134"/>
      </rPr>
      <t xml:space="preserve"> </t>
    </r>
    <r>
      <rPr>
        <b/>
        <sz val="10"/>
        <color rgb="FF000000"/>
        <rFont val="等线"/>
        <charset val="134"/>
      </rPr>
      <t>(10/goal/object/spatial)</t>
    </r>
  </si>
  <si>
    <t>Linear</t>
  </si>
  <si>
    <t>MLP</t>
  </si>
  <si>
    <t>SSIM ot vs ot+1</t>
  </si>
  <si>
    <t>SSIM ot vs recon</t>
  </si>
  <si>
    <t>SSIM ot+1 vs recon</t>
  </si>
  <si>
    <t>MSE ot vs ot+1</t>
  </si>
  <si>
    <t>MSE ot vs recon</t>
  </si>
  <si>
    <t>MSE ot+1 vs recon</t>
  </si>
  <si>
    <t>PSNR ot vs ot+1</t>
  </si>
  <si>
    <t>PSNR ot vs recon</t>
  </si>
  <si>
    <t>PSNR ot+1 vs recon</t>
  </si>
  <si>
    <t>Mean SSIM ratio</t>
  </si>
  <si>
    <t>Mean PSNR ratio</t>
  </si>
  <si>
    <r>
      <rPr>
        <b/>
        <sz val="10"/>
        <color rgb="FF000000"/>
        <rFont val="等线"/>
        <charset val="134"/>
      </rPr>
      <t xml:space="preserve">Head1 </t>
    </r>
    <r>
      <rPr>
        <sz val="10"/>
        <color rgb="FF000000"/>
        <rFont val="等线"/>
        <charset val="134"/>
      </rPr>
      <t xml:space="preserve"> </t>
    </r>
    <r>
      <rPr>
        <b/>
        <sz val="10"/>
        <color rgb="FF000000"/>
        <rFont val="等线"/>
        <charset val="134"/>
      </rPr>
      <t xml:space="preserve">DAP Success </t>
    </r>
    <r>
      <rPr>
        <sz val="10"/>
        <color rgb="FF000000"/>
        <rFont val="等线"/>
        <charset val="134"/>
      </rPr>
      <t xml:space="preserve"> </t>
    </r>
    <r>
      <rPr>
        <b/>
        <sz val="10"/>
        <color rgb="FF000000"/>
        <rFont val="等线"/>
        <charset val="134"/>
      </rPr>
      <t>(easy/hard)</t>
    </r>
  </si>
  <si>
    <r>
      <rPr>
        <b/>
        <sz val="10"/>
        <color rgb="FF000000"/>
        <rFont val="等线"/>
        <charset val="134"/>
      </rPr>
      <t xml:space="preserve">Head2 </t>
    </r>
    <r>
      <rPr>
        <sz val="10"/>
        <color rgb="FF000000"/>
        <rFont val="等线"/>
        <charset val="134"/>
      </rPr>
      <t xml:space="preserve"> </t>
    </r>
    <r>
      <rPr>
        <b/>
        <sz val="10"/>
        <color rgb="FF000000"/>
        <rFont val="等线"/>
        <charset val="134"/>
      </rPr>
      <t>LAP Success</t>
    </r>
    <r>
      <rPr>
        <sz val="10"/>
        <color rgb="FF000000"/>
        <rFont val="等线"/>
        <charset val="134"/>
      </rPr>
      <t xml:space="preserve"> </t>
    </r>
    <r>
      <rPr>
        <b/>
        <sz val="10"/>
        <color rgb="FF000000"/>
        <rFont val="等线"/>
        <charset val="134"/>
      </rPr>
      <t>(easy/hard)</t>
    </r>
  </si>
  <si>
    <r>
      <rPr>
        <b/>
        <sz val="10"/>
        <color rgb="FF000000"/>
        <rFont val="等线"/>
        <charset val="134"/>
      </rPr>
      <t xml:space="preserve">Head3 </t>
    </r>
    <r>
      <rPr>
        <sz val="10"/>
        <color rgb="FF000000"/>
        <rFont val="等线"/>
        <charset val="134"/>
      </rPr>
      <t xml:space="preserve"> </t>
    </r>
    <r>
      <rPr>
        <b/>
        <sz val="10"/>
        <color rgb="FF000000"/>
        <rFont val="等线"/>
        <charset val="134"/>
      </rPr>
      <t xml:space="preserve">JAP Success </t>
    </r>
    <r>
      <rPr>
        <sz val="10"/>
        <color rgb="FF000000"/>
        <rFont val="等线"/>
        <charset val="134"/>
      </rPr>
      <t xml:space="preserve"> </t>
    </r>
    <r>
      <rPr>
        <b/>
        <sz val="10"/>
        <color rgb="FF000000"/>
        <rFont val="等线"/>
        <charset val="134"/>
      </rPr>
      <t>(easy/hard)</t>
    </r>
  </si>
  <si>
    <r>
      <rPr>
        <b/>
        <sz val="10"/>
        <color rgb="FF000000"/>
        <rFont val="等线"/>
        <charset val="134"/>
      </rPr>
      <t xml:space="preserve">Head4 </t>
    </r>
    <r>
      <rPr>
        <sz val="10"/>
        <color rgb="FF000000"/>
        <rFont val="等线"/>
        <charset val="134"/>
      </rPr>
      <t xml:space="preserve"> </t>
    </r>
    <r>
      <rPr>
        <b/>
        <sz val="10"/>
        <color rgb="FF000000"/>
        <rFont val="等线"/>
        <charset val="134"/>
      </rPr>
      <t>JAP-DAP Success</t>
    </r>
    <r>
      <rPr>
        <sz val="10"/>
        <color rgb="FF000000"/>
        <rFont val="等线"/>
        <charset val="134"/>
      </rPr>
      <t xml:space="preserve"> </t>
    </r>
    <r>
      <rPr>
        <b/>
        <sz val="10"/>
        <color rgb="FF000000"/>
        <rFont val="等线"/>
        <charset val="134"/>
      </rPr>
      <t>(easy/hard)</t>
    </r>
  </si>
  <si>
    <r>
      <rPr>
        <b/>
        <sz val="10"/>
        <color rgb="FF000000"/>
        <rFont val="等线"/>
        <charset val="134"/>
      </rPr>
      <t xml:space="preserve">Head5 </t>
    </r>
    <r>
      <rPr>
        <sz val="10"/>
        <color rgb="FF000000"/>
        <rFont val="等线"/>
        <charset val="134"/>
      </rPr>
      <t xml:space="preserve"> </t>
    </r>
    <r>
      <rPr>
        <b/>
        <sz val="10"/>
        <color rgb="FF000000"/>
        <rFont val="等线"/>
        <charset val="134"/>
      </rPr>
      <t>JAP-LAP Success</t>
    </r>
    <r>
      <rPr>
        <sz val="10"/>
        <color rgb="FF000000"/>
        <rFont val="等线"/>
        <charset val="134"/>
      </rPr>
      <t xml:space="preserve"> </t>
    </r>
    <r>
      <rPr>
        <b/>
        <sz val="10"/>
        <color rgb="FF000000"/>
        <rFont val="等线"/>
        <charset val="134"/>
      </rPr>
      <t>(easy/hard)</t>
    </r>
  </si>
  <si>
    <t>Linear(MSE)</t>
  </si>
  <si>
    <t>MLP(MSE)</t>
  </si>
  <si>
    <t>VAE(1e-7)</t>
  </si>
  <si>
    <t>0.872/0.964/0.974/0.872</t>
  </si>
  <si>
    <t>0.850/0.954/0.984/0.862</t>
  </si>
  <si>
    <t>0.846/0.954/0.974/0.846</t>
  </si>
  <si>
    <t>0.822/0.950/0.978/0.866</t>
  </si>
  <si>
    <t>0.838/0.948/0.988/0.848</t>
  </si>
  <si>
    <t>0.410/0.487/0.452/0.457</t>
  </si>
  <si>
    <t>0.415/0.509/0.475/0.454</t>
  </si>
  <si>
    <t>0.336/0.443/0.405/0.417</t>
  </si>
  <si>
    <t>0.336/0.509/0.417/0.432</t>
  </si>
  <si>
    <t>0.333/0.494/0.405/0.466</t>
  </si>
  <si>
    <t>0.838/0.838</t>
  </si>
  <si>
    <t>0.883/0.867</t>
  </si>
  <si>
    <t>0.858/0.862</t>
  </si>
  <si>
    <t>0.872/0.868</t>
  </si>
  <si>
    <t>0.851/0.853</t>
  </si>
  <si>
    <t>Sparsity(1e-5)</t>
  </si>
  <si>
    <t>0.876/0.956/0.978/0.868</t>
  </si>
  <si>
    <t>0.854/0.962/0.982/0.860</t>
  </si>
  <si>
    <t>0.848/0.956/0.984/0.864</t>
  </si>
  <si>
    <t>0.868/0.946/0.976/0.868</t>
  </si>
  <si>
    <t>0.862/0.934/0.986/0.880</t>
  </si>
  <si>
    <t>0.400/0.511/0.475/0.497</t>
  </si>
  <si>
    <t>0.400/0.553/0.508/0.543</t>
  </si>
  <si>
    <t>0.392/0.518/0.432/0.492</t>
  </si>
  <si>
    <t>0.384/0.531/0.420/0.469</t>
  </si>
  <si>
    <t>0.387/0.521/0.425/0.511</t>
  </si>
  <si>
    <t>0.816/0.828</t>
  </si>
  <si>
    <t>0.845/0.842</t>
  </si>
  <si>
    <t>0.788/0.802</t>
  </si>
  <si>
    <t>0.833/0.862</t>
  </si>
  <si>
    <t>0.838/0.854</t>
  </si>
  <si>
    <t>Sigreg(1e-3)</t>
  </si>
  <si>
    <t>0.836/0.944/0.984/0.874</t>
  </si>
  <si>
    <t>0.830/0.946/0.992/0.868</t>
  </si>
  <si>
    <t>0.810/0.944/0.976/0.876</t>
  </si>
  <si>
    <t>0.836/0.944/0.976/0.880</t>
  </si>
  <si>
    <t>0.830/0.942/0.986/0.892</t>
  </si>
  <si>
    <t>0.432/0.504/0.495/0.494</t>
  </si>
  <si>
    <t>0.412/0.533/0.488/0.480</t>
  </si>
  <si>
    <t>0.400/0.521/0.465/0.463</t>
  </si>
  <si>
    <t>0.346/0.562/0.417/0.443</t>
  </si>
  <si>
    <t>0.400/0.555/0.447/0.474</t>
  </si>
  <si>
    <t>0.815/0.818</t>
  </si>
  <si>
    <t>0.836/0.857</t>
  </si>
  <si>
    <t>0.817/0.840</t>
  </si>
  <si>
    <t>0.861/0.868</t>
  </si>
  <si>
    <t>0.854/0.843</t>
  </si>
  <si>
    <t>AE</t>
  </si>
  <si>
    <t>0.886/0.972/0.982/0.872</t>
  </si>
  <si>
    <t>0.874/0.964/0.990/0.870</t>
  </si>
  <si>
    <t>0.830/0.946/0.970/0.858</t>
  </si>
  <si>
    <t>0.848/0.952/0.978/0.846</t>
  </si>
  <si>
    <t>0.822/0.956/0.982/0.854</t>
  </si>
  <si>
    <t>0.407/0.457/0.462/0.434</t>
  </si>
  <si>
    <t>0.417/0.474/0.455/0.472</t>
  </si>
  <si>
    <t>0.415/0.516/0.402/0.411</t>
  </si>
  <si>
    <t>0.422/0.538/0.422/0.414</t>
  </si>
  <si>
    <t>0.420/0.538/0.387/0.443</t>
  </si>
  <si>
    <t>0.824/0.832</t>
  </si>
  <si>
    <t>0.840/0.847</t>
  </si>
  <si>
    <t>0.850/0.867</t>
  </si>
  <si>
    <t>0.868/0.878</t>
  </si>
  <si>
    <t>0.844/0.868</t>
  </si>
  <si>
    <t>VQ-VAE(1)</t>
  </si>
  <si>
    <t>0.860/0.968/0.986/0.866</t>
  </si>
  <si>
    <t>0.852/0.952/0.970/0.864</t>
  </si>
  <si>
    <t>0.834/0.952/0.984/0.848</t>
  </si>
  <si>
    <t>0.858/0.950/0.974/0.846</t>
  </si>
  <si>
    <t>0.850/0.958/0.974/0.852</t>
  </si>
  <si>
    <t>0.498/0.560/0.545/0.546</t>
  </si>
  <si>
    <t>0.534/0.555/0.528/0.517</t>
  </si>
  <si>
    <t>0.443/0.518/0.510/0.506</t>
  </si>
  <si>
    <t>0.468/0.521/0.515/0.486</t>
  </si>
  <si>
    <t>0.499/0.553/0.540/0.494</t>
  </si>
  <si>
    <t>0.807/0.815</t>
  </si>
  <si>
    <t>0.803/0.794</t>
  </si>
  <si>
    <t>0.807/0.852</t>
  </si>
  <si>
    <t>0.808/0.833</t>
  </si>
  <si>
    <t>0.837/0.852</t>
  </si>
  <si>
    <t>RAFT</t>
  </si>
  <si>
    <t>0.620/0.918/0.366/0.798</t>
  </si>
  <si>
    <t>0.652/0.936/0.470/0.796</t>
  </si>
  <si>
    <t>0.684/0.940/0.910/0.818</t>
  </si>
  <si>
    <t>0.668/0.922/0.924/0.828</t>
  </si>
  <si>
    <t>0.708/0.912/0.900/0.826</t>
  </si>
  <si>
    <t>0.201/0.274/0.392/0.371</t>
  </si>
  <si>
    <t>0.277/0.306/0.442/0.409</t>
  </si>
  <si>
    <t>0.244/0.394/0.314/0.406</t>
  </si>
  <si>
    <t>0.237/0.430/0.317/0.400</t>
  </si>
  <si>
    <t>0.257/0.438/0.324/0.403</t>
  </si>
  <si>
    <t>0.797/0.772</t>
  </si>
  <si>
    <t>0.786/0.760</t>
  </si>
  <si>
    <t>0.833/0.817</t>
  </si>
  <si>
    <t>0.823/0.838</t>
  </si>
  <si>
    <t>0.817/0.812</t>
  </si>
  <si>
    <t>SEA-RAFT</t>
  </si>
  <si>
    <t>0.630/0.932/0.330/0.798</t>
  </si>
  <si>
    <t>0.672/0.914/0.662/0.808</t>
  </si>
  <si>
    <t>0.678/0.938/0.936/0.834</t>
  </si>
  <si>
    <t>0.728/0.946/0.962/0.836</t>
  </si>
  <si>
    <t>0.708/0.938/0.952/0.832</t>
  </si>
  <si>
    <t>0.211/0.176/0.382/0.386</t>
  </si>
  <si>
    <t>0.272/0.262/0.422/0.400</t>
  </si>
  <si>
    <t>0.303/0.338/0.304/0.397</t>
  </si>
  <si>
    <t>0.277/0.318/0.337/0.329</t>
  </si>
  <si>
    <t>0.305/0.369/0.342/0.386</t>
  </si>
  <si>
    <t>0.798/0.776</t>
  </si>
  <si>
    <t>0.810/0.797</t>
  </si>
  <si>
    <t>0.765/0.773</t>
  </si>
  <si>
    <t>0.822/0.817</t>
  </si>
  <si>
    <t>0.841/0.825</t>
  </si>
  <si>
    <t>Delta RGB</t>
  </si>
  <si>
    <t>0.708/0.948/0.940/0.816</t>
  </si>
  <si>
    <t>0.720/0.940/0.954/0.826</t>
  </si>
  <si>
    <t>0.814/0.948/0.976/0.856</t>
  </si>
  <si>
    <t>0.792/0.938/0.978/0.866</t>
  </si>
  <si>
    <t>0.812/0.938/0.968/0.864</t>
  </si>
  <si>
    <t>0.328/0.438/0.377/0.266</t>
  </si>
  <si>
    <t>0.323/0.399/0.470/0.337</t>
  </si>
  <si>
    <t>0.397/0.457/0.395/0.340</t>
  </si>
  <si>
    <t>0.331/0.462/0.392/0.366</t>
  </si>
  <si>
    <t>0.344/0.477/0.440/0.392</t>
  </si>
  <si>
    <t>0.784/0.805</t>
  </si>
  <si>
    <t>0.805/0.812</t>
  </si>
  <si>
    <t>0.825/0.842</t>
  </si>
  <si>
    <t>0.853/0.859</t>
  </si>
  <si>
    <t>0.832/0.828</t>
  </si>
  <si>
    <t>Delta DINOv2</t>
  </si>
  <si>
    <t>0.892/0.964/0.996/0.880</t>
  </si>
  <si>
    <t>0.860/0.962/0.990/0.880</t>
  </si>
  <si>
    <t>0.848/0.950/0.980/0.874</t>
  </si>
  <si>
    <t>0.850/0.962/0.980/0.888</t>
  </si>
  <si>
    <t>0.856/0.960/0.972/0.882</t>
  </si>
  <si>
    <t>0.435/0.462/0.487/0.446</t>
  </si>
  <si>
    <t>0.468/0.482/0.485/0.517</t>
  </si>
  <si>
    <t>0.415/0.435/0.372/0.360</t>
  </si>
  <si>
    <t>0.405/0.438/0.380/0.409</t>
  </si>
  <si>
    <t>0.428/0.438/0.367/0.374</t>
  </si>
  <si>
    <t>0.836/0.873</t>
  </si>
  <si>
    <t>0.826/0.866</t>
  </si>
  <si>
    <t>0.797/0.836</t>
  </si>
  <si>
    <t>0.812/0.814</t>
  </si>
  <si>
    <t>0.832/0.842</t>
  </si>
  <si>
    <t>CoMo</t>
  </si>
  <si>
    <t>0.840/0.960/0.980/0.848</t>
  </si>
  <si>
    <t>0.842/0.968/0.988/0.850</t>
  </si>
  <si>
    <t>0.840/0.948/0.976/0.874</t>
  </si>
  <si>
    <t>0.824/0.946/0.980/0.862</t>
  </si>
  <si>
    <t>0.836/0.954/0.984/0.858</t>
  </si>
  <si>
    <t>0.361/0.381/0.357/0.389</t>
  </si>
  <si>
    <t>0.377/0.416/0.410/0.394</t>
  </si>
  <si>
    <t>0.400/0.418/0.437/0.363</t>
  </si>
  <si>
    <t>0.366/0.462/0.415/0.412</t>
  </si>
  <si>
    <t>0.359/0.452/0.387/0.386</t>
  </si>
  <si>
    <t>0.813/0.809</t>
  </si>
  <si>
    <t>0.861/0.862</t>
  </si>
  <si>
    <t>0.838/0.877</t>
  </si>
  <si>
    <t>0.830/0.845</t>
  </si>
  <si>
    <t>0.861/0.855</t>
  </si>
  <si>
    <t>LAOF</t>
  </si>
  <si>
    <t>0.790/0.962/0.962/0.842</t>
  </si>
  <si>
    <t>0.770/0.936/0.954/0.834</t>
  </si>
  <si>
    <t>0.786/0.958/0.976/0.860</t>
  </si>
  <si>
    <t>0.768/0.948/0.974/0.864</t>
  </si>
  <si>
    <t>0.764/0.960/0.976/0.868</t>
  </si>
  <si>
    <t>0.275/0.330/0.342/0.354</t>
  </si>
  <si>
    <t>0.257/0.328/0.299/0.257</t>
  </si>
  <si>
    <t>0.305/0.489/0.372/0.380</t>
  </si>
  <si>
    <t>0.308/0.462/0.384/0.354</t>
  </si>
  <si>
    <t>0.356/0.496/0.369/0.360</t>
  </si>
  <si>
    <t>0.849/0.847</t>
  </si>
  <si>
    <t>0.799/0.821</t>
  </si>
  <si>
    <t>0.802/0.821</t>
  </si>
  <si>
    <t>0.843/0.843</t>
  </si>
  <si>
    <t>0.827/0.844</t>
  </si>
  <si>
    <t>LAPO</t>
  </si>
  <si>
    <t>0.882/0.972/0.988/0.870</t>
  </si>
  <si>
    <t>0.862/0.956/0.99/0.866</t>
  </si>
  <si>
    <t>0.862/0.954/0.964/0.848</t>
  </si>
  <si>
    <t>0.802/0.952/0.970/0.868</t>
  </si>
  <si>
    <t>0.814/0.960/0.974/0.852</t>
  </si>
  <si>
    <t>0.402/0.379/0.362/0.446</t>
  </si>
  <si>
    <t>0.430/0.435/0.415/0.440</t>
  </si>
  <si>
    <t>0.379/0.513/0.447/0.457</t>
  </si>
  <si>
    <t>0.392/0.516/0.430/0.471</t>
  </si>
  <si>
    <t>0.394/0.511/0.430/0.486</t>
  </si>
  <si>
    <t>0.856/0.868</t>
  </si>
  <si>
    <t>0.824/0.836</t>
  </si>
  <si>
    <t>0.860/0.864</t>
  </si>
  <si>
    <t>0.861/0.851</t>
  </si>
  <si>
    <t>VAE(1e-8)</t>
  </si>
  <si>
    <t>0.888/0.956/0.986/0.862</t>
  </si>
  <si>
    <t>0.864/0.956/0.982/0.862</t>
  </si>
  <si>
    <t>0.417/0.516/0.472/0.469</t>
  </si>
  <si>
    <t>0.442/0.526/0.462/0.477</t>
  </si>
  <si>
    <t>0.858/0.868</t>
  </si>
  <si>
    <t>0.844/0.849</t>
  </si>
  <si>
    <t>Sparsity(1e-8)</t>
  </si>
  <si>
    <t>0.870/0.940/0.984/0.868</t>
  </si>
  <si>
    <t>0.862/0.946/0.988/0.852</t>
  </si>
  <si>
    <t>0.453/0.435/0.457/0.457</t>
  </si>
  <si>
    <t>0.404/0.430/0.475/0.423</t>
  </si>
  <si>
    <t>0.813/0.833</t>
  </si>
  <si>
    <t>0.836/0.872</t>
  </si>
  <si>
    <t>Sigreg(1e-8)</t>
  </si>
  <si>
    <t>0.888/0.956/0.978/0.872</t>
  </si>
  <si>
    <t>0.882/0.964/0.982/0.876</t>
  </si>
  <si>
    <t>0.438/0.435/0.440/0.471</t>
  </si>
  <si>
    <t>0.412/0.435/0.467/0.454</t>
  </si>
  <si>
    <t>0.854/0.868</t>
  </si>
  <si>
    <t>VQ-VAE(1e-8)</t>
  </si>
  <si>
    <t>0.792/0.948/0.950/0.854</t>
  </si>
  <si>
    <t>0.000/0.000/0.000/0.000</t>
  </si>
  <si>
    <t>0.476/0.579/0.505/0.494</t>
  </si>
  <si>
    <t>0.448/0.557/0.490/0.511</t>
  </si>
  <si>
    <t>0.805/0.837</t>
  </si>
  <si>
    <t>0.000/0.000</t>
  </si>
  <si>
    <t>VAE(1e-6)</t>
  </si>
  <si>
    <t>Sparsity(1e-6)</t>
  </si>
  <si>
    <t>0.884/0.970/0.976/0.880</t>
  </si>
  <si>
    <t>0.880/0.968/0.978/0.874</t>
  </si>
  <si>
    <t>0.844/0.962/0.980/0.864</t>
  </si>
  <si>
    <t>0.856/0.946/0.972/0.872</t>
  </si>
  <si>
    <t>0.858/0.966/0.978/0.862</t>
  </si>
  <si>
    <t>0.415/0.389/0.455/0.443</t>
  </si>
  <si>
    <t>0.412/0.413/0.427/0.446</t>
  </si>
  <si>
    <t>0.379/0.501/0.442/0.454</t>
  </si>
  <si>
    <t>0.399/0.484/0.447/0.454</t>
  </si>
  <si>
    <t>0.361/0.491/0.440/0.471</t>
  </si>
  <si>
    <t>0.855/0.868</t>
  </si>
  <si>
    <t>0.854/0.869</t>
  </si>
  <si>
    <t>0.792/0.806</t>
  </si>
  <si>
    <t>0.809/0.838</t>
  </si>
  <si>
    <t>0.824/0.828</t>
  </si>
  <si>
    <t>Sigreg(1e-6)</t>
  </si>
  <si>
    <t>0.868/0.964/0.986/0.866</t>
  </si>
  <si>
    <t>0.862/0.950/0.982/0.860</t>
  </si>
  <si>
    <t>0.810/0.944/0.964/0.856</t>
  </si>
  <si>
    <t>0.844/0.958/0.976/0.852</t>
  </si>
  <si>
    <t>0.828/0.952/0.976/0.858</t>
  </si>
  <si>
    <t>0.400/0.455/0.455/0.480</t>
  </si>
  <si>
    <t>0.410/0.482/0.490/0.506</t>
  </si>
  <si>
    <t>0.453/0.509/0.405/0.391</t>
  </si>
  <si>
    <t>0.399/0.521/0.382/0.426</t>
  </si>
  <si>
    <t>0.445/0.535/0.405/0.426</t>
  </si>
  <si>
    <t>0.848/0.843</t>
  </si>
  <si>
    <t>0.851/0.851</t>
  </si>
  <si>
    <t>0.816/0.839</t>
  </si>
  <si>
    <t>0.846/0.867</t>
  </si>
  <si>
    <t>0.828/0.848</t>
  </si>
  <si>
    <t>VQ-VAE(1e-6)</t>
  </si>
  <si>
    <t>0.790/0.950/0.944/0.854</t>
  </si>
  <si>
    <t>0.748/0.940/0.966/0.846</t>
  </si>
  <si>
    <t>0.798/0.952/0.980/0.850</t>
  </si>
  <si>
    <t>0.792/0.954/0.982/0.838</t>
  </si>
  <si>
    <t>0.812/0.946/0.974/0.848</t>
  </si>
  <si>
    <t>0.384/0.479/0.513/0.511</t>
  </si>
  <si>
    <t>0.438/0.484/0.525/0.532</t>
  </si>
  <si>
    <t>0.372/0.450/0.460/0.423</t>
  </si>
  <si>
    <t>0.417/0.455/0.437/0.443</t>
  </si>
  <si>
    <t>0.412/0.484/0.455/0.431</t>
  </si>
  <si>
    <t>0.798/0.804</t>
  </si>
  <si>
    <t>0.792/0.807</t>
  </si>
  <si>
    <t>0.835/0.848</t>
  </si>
  <si>
    <t>0.836/0.853</t>
  </si>
  <si>
    <t>0.794/0.820</t>
  </si>
  <si>
    <t>VAE(1e-4)</t>
  </si>
  <si>
    <t>0.840/0.974/0.978/0.866</t>
  </si>
  <si>
    <t>0.832/0.954/0.958/0.878</t>
  </si>
  <si>
    <t>0.522/0.599/0.462/0.514</t>
  </si>
  <si>
    <t>0.506/0.533/0.427/0.574</t>
  </si>
  <si>
    <t>0.849/0.818</t>
  </si>
  <si>
    <t>0.817/0.822</t>
  </si>
  <si>
    <t>Sparsity(1e-4)</t>
  </si>
  <si>
    <t>0.880/0.968/0.980/0.870</t>
  </si>
  <si>
    <t>0.854/0.962/0.980/0.882</t>
  </si>
  <si>
    <t>0.415/0.489/0.500/0.517</t>
  </si>
  <si>
    <t>0.433/0.528/0.500/0.509</t>
  </si>
  <si>
    <t>0.838/0.850</t>
  </si>
  <si>
    <t>0.856/0.858</t>
  </si>
  <si>
    <t>Sigreg(1e-4)</t>
  </si>
  <si>
    <t>0.878/0.970/0.990/0.868</t>
  </si>
  <si>
    <t>0.878/0.962/0.980/0.874</t>
  </si>
  <si>
    <t>0.443/0.504/0.492/0.489</t>
  </si>
  <si>
    <t>0.440/0.531/0.515/0.509</t>
  </si>
  <si>
    <t>0.826/0.842</t>
  </si>
  <si>
    <t>0.839/0.843</t>
  </si>
  <si>
    <t>VQ-VAE(1e-4)</t>
  </si>
  <si>
    <t>0.846/0.944/0.966/0.862</t>
  </si>
  <si>
    <t>0.812/0.954/0.970/0.872</t>
  </si>
  <si>
    <t>0.407/0.428/0.487/0.506</t>
  </si>
  <si>
    <t>0.821/0.824</t>
  </si>
  <si>
    <t>0.809/0.823</t>
  </si>
  <si>
    <t>VAE(1e-2)</t>
  </si>
  <si>
    <t>0.706/0.948/0.956/0.852</t>
  </si>
  <si>
    <t>0.740/0.950/0.964/0.850</t>
  </si>
  <si>
    <t>0.298/0.501/0.372/0.346</t>
  </si>
  <si>
    <t>0.318/0.499/0.437/0.457</t>
  </si>
  <si>
    <t>0.698/0.721</t>
  </si>
  <si>
    <t>0.818/0.795</t>
  </si>
  <si>
    <t>Sparsity(1e-2)</t>
  </si>
  <si>
    <t>0.864/0.968/0.978/0.846</t>
  </si>
  <si>
    <t>0.862/0.970/0.980/0.884</t>
  </si>
  <si>
    <t>0.399/0.521/0.475/0.491</t>
  </si>
  <si>
    <t>0.412/0.521/0.462/0.500</t>
  </si>
  <si>
    <t>0.801/0.829</t>
  </si>
  <si>
    <t>0.800/0.829</t>
  </si>
  <si>
    <t>Sigreg(1e-2)</t>
  </si>
  <si>
    <t>0.852/0.968/0.990/0.880</t>
  </si>
  <si>
    <t>0.854/0.950/0.984/0.874</t>
  </si>
  <si>
    <t>0.455/0.518/0.530/0.463</t>
  </si>
  <si>
    <t>0.453/0.548/0.510/0.483</t>
  </si>
  <si>
    <t>0.842/0.878</t>
  </si>
  <si>
    <t>VQ-VAE(1e-2)</t>
  </si>
  <si>
    <t>0.858/0.958/0.984/0.872</t>
  </si>
  <si>
    <t>0.802/0.958/0.986/0.866</t>
  </si>
  <si>
    <t>0.478/0.572/0.518/0.554</t>
  </si>
  <si>
    <t>0.483/0.592/0.477/0.569</t>
  </si>
  <si>
    <t>0.857/0.847</t>
  </si>
  <si>
    <t>0.814/0.842</t>
  </si>
  <si>
    <t>VAE(1e-7)_denorm</t>
  </si>
  <si>
    <t>0.856/0.952/0.988/0.868</t>
  </si>
  <si>
    <t>0.868/0.966/0.980/0.870</t>
  </si>
  <si>
    <t>0.387/0.548/0.477/0.497</t>
  </si>
  <si>
    <t>0.422/0.540/0.495/0.495</t>
  </si>
  <si>
    <t>0.807/0.848</t>
  </si>
  <si>
    <t>0.840/0.872</t>
  </si>
  <si>
    <t>Sparsity(1e-5)_denorm</t>
  </si>
  <si>
    <t>0.852/0.966/0.986/0.868</t>
  </si>
  <si>
    <t>0.864/0.972/0.980/0.864</t>
  </si>
  <si>
    <t>0.430/0.538/0.490/0.489</t>
  </si>
  <si>
    <t>0.484/0.536/0.482/0.503</t>
  </si>
  <si>
    <t>0.834/0.853</t>
  </si>
  <si>
    <t>0.862/0.856</t>
  </si>
  <si>
    <t>Sigreg(1e-3)_denorm</t>
  </si>
  <si>
    <t>0.852/0.960/0.984/0.870</t>
  </si>
  <si>
    <t>0.860/0.968/0.982/0.874</t>
  </si>
  <si>
    <t>0.450/0.567/0.508/0.489</t>
  </si>
  <si>
    <t>0.463/0.599/0.520/0.557</t>
  </si>
  <si>
    <t>0.818/0.840</t>
  </si>
  <si>
    <t>0.840/0.859</t>
  </si>
  <si>
    <t>AE_denorm</t>
  </si>
  <si>
    <t>0.882/0.968/0.984/0.862</t>
  </si>
  <si>
    <t>0.872/0.960/0.970/0.862</t>
  </si>
  <si>
    <t>0.425/0.435/0.435/0.506</t>
  </si>
  <si>
    <t>0.415/0.501/0.482/0.531</t>
  </si>
  <si>
    <t>0.848/0.871</t>
  </si>
  <si>
    <t>0.858/0.873</t>
  </si>
  <si>
    <t>VQ-VAE(1)_denorm</t>
  </si>
  <si>
    <t>0.872/0.956/0.976/0.860</t>
  </si>
  <si>
    <t>0.856/0.958/0.988/0.858</t>
  </si>
  <si>
    <t>0.557/0.558/0.513/0.629</t>
  </si>
  <si>
    <t>0.496/0.584/0.472/0.597</t>
  </si>
  <si>
    <t>0.848/0.838</t>
  </si>
  <si>
    <t>0.854/0.856</t>
  </si>
  <si>
    <t>RAFT_denorm</t>
  </si>
  <si>
    <t>0.620/0.922/0.586/0.800</t>
  </si>
  <si>
    <t>0.692/0.932/0.606/0.788</t>
  </si>
  <si>
    <t>0.214/0.193/0.405/0.389</t>
  </si>
  <si>
    <t>0.265/0.176/0.427/0.417</t>
  </si>
  <si>
    <t>0.776/0.787</t>
  </si>
  <si>
    <t>0.804/0.795</t>
  </si>
  <si>
    <t>SEA-RAFT_denorm</t>
  </si>
  <si>
    <t>0.626/0.940/0.392/0.804</t>
  </si>
  <si>
    <t>0.648/0.928/0.518/0.812</t>
  </si>
  <si>
    <t>0.295/0.269/0.402/0.372</t>
  </si>
  <si>
    <t>0.285/0.357/0.440/0.454</t>
  </si>
  <si>
    <t>0.788/0.786</t>
  </si>
  <si>
    <t>0.812/0.806</t>
  </si>
  <si>
    <t>Delta RGB_denorm</t>
  </si>
  <si>
    <t>0.732/0.926/0.960/0.838</t>
  </si>
  <si>
    <t>0.776/0.954/0.938/0.86</t>
  </si>
  <si>
    <t>0.346/0.418/0.312/0.380</t>
  </si>
  <si>
    <t>0.333/0.452/0.354/0.472</t>
  </si>
  <si>
    <t>0.775/0.802</t>
  </si>
  <si>
    <t>0.801/0.834</t>
  </si>
  <si>
    <t>Delta DINOv2_denorm</t>
  </si>
  <si>
    <t>0.872/0.968/0.986/0.878</t>
  </si>
  <si>
    <t>0.878/0.980/0.992/0.878</t>
  </si>
  <si>
    <t>0.471/0.555/0.470/0.494</t>
  </si>
  <si>
    <t>0.438/0.504/0.485/0.492</t>
  </si>
  <si>
    <t>0.856/0.850</t>
  </si>
  <si>
    <t>0.848/0.862</t>
  </si>
  <si>
    <t>CoMo_denorm</t>
  </si>
  <si>
    <t>0.852/0.968/0.978/0.864</t>
  </si>
  <si>
    <t>0.868/0.976/0.982/0.848</t>
  </si>
  <si>
    <t>0.402/0.487/0.395/0.446</t>
  </si>
  <si>
    <t>0.356/0.484/0.452/0.432</t>
  </si>
  <si>
    <t>0.858/0.881</t>
  </si>
  <si>
    <t>0.828/0.849</t>
  </si>
  <si>
    <t>LAOF_denorm</t>
  </si>
  <si>
    <t>0.790/0.958/0.974/0.854</t>
  </si>
  <si>
    <t>0.780/0.966/0.962/0.856</t>
  </si>
  <si>
    <t>0.288/0.403/0.400/0.383</t>
  </si>
  <si>
    <t>0.270/0.396/0.374/0.320</t>
  </si>
  <si>
    <t>0.805/0.817</t>
  </si>
  <si>
    <t>0.832/0.838</t>
  </si>
  <si>
    <t>LAPO_denorm</t>
  </si>
  <si>
    <t>0.852/0.972/0.986/0.874</t>
  </si>
  <si>
    <t>0.862/0.966/0.976/0.868</t>
  </si>
  <si>
    <t>0.456/0.572/0.548/0.537</t>
  </si>
  <si>
    <t>0.478/0.565/0.513/0.537</t>
  </si>
  <si>
    <t>0.770/0.740</t>
  </si>
  <si>
    <t>0.888/0.966/0.990/0.880</t>
  </si>
  <si>
    <t>0.870/0.954/0.988/0.872</t>
  </si>
  <si>
    <t>0.448/0.548/0.513/0.509</t>
  </si>
  <si>
    <t>0.471/0.565/0.490/0.540</t>
  </si>
  <si>
    <t>0.822/0.851</t>
  </si>
  <si>
    <t>0.836/0.834</t>
  </si>
  <si>
    <t>0.854/0.972/0.984/0.880</t>
  </si>
  <si>
    <t>0.862/0.964/0.988/0.876</t>
  </si>
  <si>
    <t>0.453/0.582/0.508/0.512</t>
  </si>
  <si>
    <t>0.489/0.565/0.498/0.523</t>
  </si>
  <si>
    <t>0.853/0.862</t>
  </si>
  <si>
    <t>0.848/0.860</t>
  </si>
  <si>
    <t>0.878/0.956/0.988/0.864</t>
  </si>
  <si>
    <t>0.862/0.960/0.990/0.876</t>
  </si>
  <si>
    <t>0.369/0.391/0.400/0.429</t>
  </si>
  <si>
    <t>0.395/0.379/0.420/0.409</t>
  </si>
  <si>
    <t>0.827/0.843</t>
  </si>
  <si>
    <t>0.827/0.848</t>
  </si>
  <si>
    <t>0.872/0.962/0.978/0.858</t>
  </si>
  <si>
    <t>0.858/0.964/0.980/0.864</t>
  </si>
  <si>
    <t>0.361/0.440/0.480/0.434</t>
  </si>
  <si>
    <t xml:space="preserve"> 0.407/0.470/0.465/0.406</t>
  </si>
  <si>
    <t>0.847/0.845</t>
  </si>
  <si>
    <t>0.817/0.818</t>
  </si>
  <si>
    <t>0.862/0.970/0.978/0.858</t>
  </si>
  <si>
    <t>0.842/0.960/0.980/0.860</t>
  </si>
  <si>
    <t>0.407/0.516/0.362/0.457</t>
  </si>
  <si>
    <t>0.366/0.511/0.425/0.454</t>
  </si>
  <si>
    <t>0.836/0.856</t>
  </si>
  <si>
    <t>0.845/0.837</t>
  </si>
  <si>
    <t>0.860/0.962/0.984/0.870</t>
  </si>
  <si>
    <t>0.864/0.954/0.990/0.872</t>
  </si>
  <si>
    <t>0.400/0.438/0.462/0.477</t>
  </si>
  <si>
    <t>0.422/0.408/0.492/0.443</t>
  </si>
  <si>
    <t>0.853/0.867</t>
  </si>
  <si>
    <t>0.847/0.848</t>
  </si>
  <si>
    <t>0.846/0.956/0.990/0.870</t>
  </si>
  <si>
    <t>0.878/0.964/0.974/0.876</t>
  </si>
  <si>
    <t>0.448/0.452/0.508/0.443</t>
  </si>
  <si>
    <t>0.496/0.501/0.520/0.454</t>
  </si>
  <si>
    <t>0.818/0.839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</si>
</sst>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theme="1"/>
      <name val="等线"/>
      <family val="2"/>
      <scheme val="minor"/>
    </font>
    <font>
      <sz val="10"/>
      <color rgb="FF000000"/>
      <name val="等线"/>
      <family val="2"/>
      <scheme val="minor"/>
    </font>
    <font>
      <b/>
      <sz val="10"/>
      <color rgb="FF000000"/>
      <name val="等线"/>
      <family val="2"/>
      <scheme val="minor"/>
    </font>
    <font>
      <sz val="10"/>
      <color rgb="FF000000"/>
      <name val="等线"/>
      <family val="2"/>
      <scheme val="minor"/>
    </font>
    <font>
      <b/>
      <sz val="10"/>
      <color rgb="FF000000"/>
      <name val="等线"/>
      <family val="2"/>
      <scheme val="minor"/>
    </font>
    <font>
      <b/>
      <sz val="10"/>
      <color rgb="FF000000"/>
      <name val="等线"/>
      <charset val="134"/>
    </font>
    <font>
      <sz val="10"/>
      <color rgb="FF000000"/>
      <name val="等线"/>
      <charset val="134"/>
    </font>
    <font>
      <sz val="9"/>
      <name val="等线"/>
      <family val="3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BA6B"/>
      </patternFill>
    </fill>
    <fill>
      <patternFill patternType="solid">
        <fgColor rgb="FF7EDAFB"/>
      </patternFill>
    </fill>
    <fill>
      <patternFill patternType="solid">
        <fgColor rgb="FFFAD355"/>
      </patternFill>
    </fill>
    <fill>
      <patternFill patternType="solid">
        <fgColor rgb="FFD9F3FD"/>
      </patternFill>
    </fill>
    <fill>
      <patternFill patternType="solid">
        <fgColor rgb="FFFDDDEF"/>
      </patternFill>
    </fill>
    <fill>
      <patternFill patternType="solid">
        <fgColor rgb="FFD9F3FD"/>
      </patternFill>
    </fill>
    <fill>
      <patternFill patternType="solid">
        <fgColor rgb="FFFDDDEF"/>
      </patternFill>
    </fill>
    <fill>
      <patternFill patternType="solid">
        <fgColor rgb="FFFED4A4"/>
      </patternFill>
    </fill>
    <fill>
      <patternFill patternType="solid">
        <fgColor rgb="FFECE2FE"/>
      </patternFill>
    </fill>
    <fill>
      <patternFill patternType="solid">
        <fgColor rgb="FFECE2FE"/>
      </patternFill>
    </fill>
    <fill>
      <patternFill patternType="solid">
        <fgColor rgb="FFE1EAFF"/>
      </patternFill>
    </fill>
    <fill>
      <patternFill patternType="solid">
        <fgColor rgb="FFFBBFBC"/>
      </patternFill>
    </fill>
    <fill>
      <patternFill patternType="solid">
        <fgColor rgb="FFC3DD40"/>
      </patternFill>
    </fill>
  </fills>
  <borders count="11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/>
      <diagonal/>
    </border>
    <border>
      <left/>
      <right/>
      <top/>
      <bottom style="thin">
        <color rgb="FF1F2329"/>
      </bottom>
      <diagonal/>
    </border>
  </borders>
  <cellStyleXfs count="1">
    <xf numFmtId="0" fontId="0" fillId="0" borderId="0" applyNumberFormat="0" applyFont="0" applyFill="0" applyBorder="0" applyProtection="0"/>
  </cellStyleXfs>
  <cellXfs count="51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4" fillId="6" borderId="8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4" fillId="7" borderId="1" xfId="0" applyFont="1" applyFill="1" applyBorder="1" applyAlignment="1">
      <alignment horizontal="center" vertical="top" wrapText="1"/>
    </xf>
    <xf numFmtId="0" fontId="4" fillId="9" borderId="1" xfId="0" applyFont="1" applyFill="1" applyBorder="1" applyAlignment="1">
      <alignment horizontal="center" vertical="top" wrapText="1"/>
    </xf>
    <xf numFmtId="0" fontId="4" fillId="9" borderId="7" xfId="0" applyFont="1" applyFill="1" applyBorder="1" applyAlignment="1">
      <alignment horizontal="center" vertical="top" wrapText="1"/>
    </xf>
    <xf numFmtId="0" fontId="4" fillId="9" borderId="4" xfId="0" applyFont="1" applyFill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4" fillId="10" borderId="1" xfId="0" applyFont="1" applyFill="1" applyBorder="1" applyAlignment="1">
      <alignment horizontal="center" vertical="top" wrapText="1"/>
    </xf>
    <xf numFmtId="0" fontId="4" fillId="10" borderId="7" xfId="0" applyFont="1" applyFill="1" applyBorder="1" applyAlignment="1">
      <alignment horizontal="center" vertical="top" wrapText="1"/>
    </xf>
    <xf numFmtId="0" fontId="4" fillId="11" borderId="7" xfId="0" applyFont="1" applyFill="1" applyBorder="1" applyAlignment="1">
      <alignment horizontal="center" vertical="top" wrapText="1"/>
    </xf>
    <xf numFmtId="0" fontId="4" fillId="10" borderId="4" xfId="0" applyFont="1" applyFill="1" applyBorder="1" applyAlignment="1">
      <alignment horizontal="center" vertical="top" wrapText="1"/>
    </xf>
    <xf numFmtId="0" fontId="4" fillId="12" borderId="1" xfId="0" applyFont="1" applyFill="1" applyBorder="1" applyAlignment="1">
      <alignment horizontal="center" vertical="top" wrapText="1"/>
    </xf>
    <xf numFmtId="0" fontId="4" fillId="12" borderId="7" xfId="0" applyFont="1" applyFill="1" applyBorder="1" applyAlignment="1">
      <alignment horizontal="center" vertical="top" wrapText="1"/>
    </xf>
    <xf numFmtId="0" fontId="4" fillId="12" borderId="4" xfId="0" applyFont="1" applyFill="1" applyBorder="1" applyAlignment="1">
      <alignment horizontal="center" vertical="top" wrapText="1"/>
    </xf>
    <xf numFmtId="0" fontId="4" fillId="13" borderId="1" xfId="0" applyFont="1" applyFill="1" applyBorder="1" applyAlignment="1">
      <alignment horizontal="center" vertical="top" wrapText="1"/>
    </xf>
    <xf numFmtId="0" fontId="4" fillId="13" borderId="7" xfId="0" applyFont="1" applyFill="1" applyBorder="1" applyAlignment="1">
      <alignment horizontal="center" vertical="top" wrapText="1"/>
    </xf>
    <xf numFmtId="0" fontId="4" fillId="13" borderId="4" xfId="0" applyFont="1" applyFill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3" fillId="14" borderId="10" xfId="0" applyFont="1" applyFill="1" applyBorder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center" wrapText="1"/>
    </xf>
    <xf numFmtId="11" fontId="4" fillId="0" borderId="0" xfId="0" applyNumberFormat="1" applyFont="1" applyAlignment="1">
      <alignment horizontal="center" vertical="top" wrapText="1"/>
    </xf>
    <xf numFmtId="0" fontId="4" fillId="3" borderId="2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3" borderId="3" xfId="0" applyFont="1" applyFill="1" applyBorder="1" applyAlignment="1">
      <alignment horizontal="center" vertical="top" wrapText="1"/>
    </xf>
    <xf numFmtId="0" fontId="4" fillId="4" borderId="3" xfId="0" applyFont="1" applyFill="1" applyBorder="1" applyAlignment="1">
      <alignment horizontal="center" vertical="top" wrapText="1"/>
    </xf>
    <xf numFmtId="0" fontId="3" fillId="4" borderId="3" xfId="0" applyFont="1" applyFill="1" applyBorder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C222"/>
  <sheetViews>
    <sheetView tabSelected="1" topLeftCell="A40" zoomScale="55" zoomScaleNormal="55" workbookViewId="0">
      <selection activeCell="A21" sqref="A21:XFD21"/>
    </sheetView>
  </sheetViews>
  <sheetFormatPr defaultColWidth="14" defaultRowHeight="13" x14ac:dyDescent="0.3"/>
  <cols>
    <col min="1" max="1" width="31" customWidth="1"/>
    <col min="2" max="2" width="92" customWidth="1"/>
    <col min="3" max="3" width="32" customWidth="1"/>
    <col min="4" max="16" width="23" customWidth="1"/>
    <col min="17" max="17" width="37" customWidth="1"/>
    <col min="18" max="58" width="23" customWidth="1"/>
    <col min="59" max="59" width="32" customWidth="1"/>
    <col min="60" max="159" width="23" customWidth="1"/>
  </cols>
  <sheetData>
    <row r="1" spans="1:159" x14ac:dyDescent="0.3">
      <c r="E1" s="1"/>
      <c r="F1" s="1"/>
      <c r="G1" s="1"/>
      <c r="H1" s="1"/>
      <c r="I1" s="1"/>
      <c r="K1" s="1"/>
      <c r="L1" s="1"/>
      <c r="M1" s="1"/>
      <c r="N1" s="1"/>
      <c r="O1" s="1"/>
      <c r="AI1" s="1"/>
      <c r="AJ1" s="1"/>
      <c r="AK1" s="1"/>
      <c r="AL1" s="1"/>
      <c r="AM1" s="1"/>
      <c r="BG1" s="1"/>
      <c r="BH1" s="1"/>
      <c r="BI1" s="1"/>
      <c r="BJ1" s="1"/>
      <c r="BK1" s="1"/>
      <c r="BL1" s="1"/>
      <c r="BM1" s="1"/>
      <c r="BN1" s="1"/>
      <c r="BO1" s="1"/>
    </row>
    <row r="2" spans="1:159" x14ac:dyDescent="0.3">
      <c r="E2" s="1"/>
      <c r="F2" s="1"/>
      <c r="G2" s="1"/>
      <c r="H2" s="1"/>
      <c r="I2" s="1"/>
      <c r="K2" s="1"/>
      <c r="L2" s="1"/>
      <c r="M2" s="1"/>
      <c r="N2" s="1"/>
      <c r="O2" s="1"/>
      <c r="AI2" s="1"/>
      <c r="AJ2" s="1"/>
      <c r="AK2" s="1"/>
      <c r="AL2" s="1"/>
      <c r="AM2" s="1"/>
      <c r="BG2" s="1"/>
      <c r="BH2" s="1"/>
      <c r="BI2" s="1"/>
      <c r="BJ2" s="1"/>
      <c r="BK2" s="1"/>
      <c r="BL2" s="1"/>
    </row>
    <row r="3" spans="1:159" x14ac:dyDescent="0.3">
      <c r="E3" s="1"/>
      <c r="F3" s="1"/>
      <c r="G3" s="1"/>
      <c r="H3" s="1"/>
      <c r="I3" s="1"/>
      <c r="K3" s="1"/>
      <c r="L3" s="1"/>
      <c r="M3" s="1"/>
      <c r="N3" s="1"/>
      <c r="O3" s="1"/>
      <c r="AI3" s="1"/>
      <c r="AJ3" s="1"/>
      <c r="AK3" s="1"/>
      <c r="AL3" s="1"/>
      <c r="AM3" s="1"/>
      <c r="BM3" s="1"/>
      <c r="BN3" s="1"/>
      <c r="BO3" s="1"/>
    </row>
    <row r="4" spans="1:159" x14ac:dyDescent="0.3">
      <c r="E4" s="1"/>
      <c r="F4" s="1"/>
      <c r="G4" s="1"/>
      <c r="H4" s="1"/>
      <c r="I4" s="1"/>
      <c r="K4" s="1"/>
      <c r="L4" s="1"/>
      <c r="M4" s="1"/>
      <c r="N4" s="1"/>
      <c r="O4" s="1"/>
      <c r="AI4" s="1"/>
      <c r="AJ4" s="1"/>
      <c r="AK4" s="1"/>
      <c r="AL4" s="1"/>
      <c r="AM4" s="1"/>
      <c r="BG4" s="1"/>
      <c r="BH4" s="1"/>
      <c r="BI4" s="1"/>
      <c r="BJ4" s="1"/>
      <c r="BK4" s="1"/>
      <c r="BL4" s="1"/>
      <c r="BM4" s="1"/>
      <c r="BN4" s="1"/>
      <c r="BO4" s="1"/>
    </row>
    <row r="5" spans="1:159" x14ac:dyDescent="0.3">
      <c r="E5" s="1"/>
      <c r="F5" s="1"/>
      <c r="G5" s="1"/>
      <c r="H5" s="1"/>
      <c r="I5" s="1"/>
      <c r="K5" s="1"/>
      <c r="L5" s="1"/>
      <c r="M5" s="1"/>
      <c r="N5" s="1"/>
      <c r="O5" s="1"/>
      <c r="AI5" s="1"/>
      <c r="AJ5" s="1"/>
      <c r="AK5" s="1"/>
      <c r="AL5" s="1"/>
      <c r="AM5" s="1"/>
      <c r="BG5" s="1"/>
      <c r="BH5" s="1"/>
      <c r="BI5" s="1"/>
      <c r="BJ5" s="1"/>
      <c r="BK5" s="1"/>
      <c r="BL5" s="1"/>
      <c r="BM5" s="1"/>
      <c r="BN5" s="1"/>
      <c r="BO5" s="1"/>
    </row>
    <row r="6" spans="1:159" x14ac:dyDescent="0.3">
      <c r="A6" s="2" t="s">
        <v>0</v>
      </c>
      <c r="B6" s="2" t="s">
        <v>1</v>
      </c>
      <c r="E6" s="1"/>
      <c r="F6" s="1"/>
      <c r="G6" s="1"/>
      <c r="H6" s="1"/>
      <c r="I6" s="1"/>
      <c r="K6" s="1"/>
      <c r="L6" s="1"/>
      <c r="M6" s="1"/>
      <c r="N6" s="1"/>
      <c r="O6" s="1"/>
      <c r="AI6" s="1"/>
      <c r="AJ6" s="1"/>
      <c r="AK6" s="1"/>
      <c r="AL6" s="1"/>
      <c r="AM6" s="1"/>
      <c r="BF6" s="2"/>
      <c r="BG6" s="1"/>
      <c r="BH6" s="1"/>
      <c r="BI6" s="1"/>
      <c r="BJ6" s="1"/>
      <c r="BK6" s="1"/>
      <c r="BL6" s="1"/>
      <c r="BM6" s="1"/>
      <c r="BN6" s="1"/>
      <c r="BO6" s="1"/>
    </row>
    <row r="7" spans="1:159" x14ac:dyDescent="0.3">
      <c r="A7" s="2" t="s">
        <v>2</v>
      </c>
      <c r="B7" s="2" t="s">
        <v>3</v>
      </c>
      <c r="E7" s="1"/>
      <c r="F7" s="1"/>
      <c r="G7" s="1"/>
      <c r="H7" s="1"/>
      <c r="I7" s="1"/>
      <c r="K7" s="1"/>
      <c r="L7" s="1"/>
      <c r="M7" s="1"/>
      <c r="N7" s="1"/>
      <c r="O7" s="1"/>
      <c r="AI7" s="1"/>
      <c r="AJ7" s="1"/>
      <c r="AK7" s="1"/>
      <c r="AL7" s="1"/>
      <c r="AM7" s="1"/>
      <c r="BF7" s="2"/>
      <c r="BG7" s="1"/>
      <c r="BH7" s="1"/>
      <c r="BI7" s="1"/>
      <c r="BJ7" s="1"/>
      <c r="BK7" s="1"/>
      <c r="BL7" s="1"/>
      <c r="BO7" s="1"/>
    </row>
    <row r="8" spans="1:159" ht="19" customHeight="1" x14ac:dyDescent="0.3">
      <c r="A8" s="2" t="s">
        <v>4</v>
      </c>
      <c r="B8" s="2" t="s">
        <v>5</v>
      </c>
      <c r="E8" s="1"/>
      <c r="F8" s="1"/>
      <c r="G8" s="1"/>
      <c r="H8" s="1"/>
      <c r="I8" s="1"/>
      <c r="K8" s="1"/>
      <c r="L8" s="1"/>
      <c r="M8" s="1"/>
      <c r="N8" s="1"/>
      <c r="O8" s="1"/>
      <c r="AI8" s="1"/>
      <c r="AJ8" s="1"/>
      <c r="AK8" s="1"/>
      <c r="AL8" s="1"/>
      <c r="AM8" s="1"/>
      <c r="BF8" s="2"/>
      <c r="BO8" s="1"/>
    </row>
    <row r="9" spans="1:159" x14ac:dyDescent="0.3">
      <c r="A9" s="2" t="s">
        <v>6</v>
      </c>
      <c r="B9" s="2" t="s">
        <v>7</v>
      </c>
      <c r="E9" s="1"/>
      <c r="F9" s="1"/>
      <c r="G9" s="1"/>
      <c r="H9" s="1"/>
      <c r="I9" s="1"/>
      <c r="K9" s="1"/>
      <c r="L9" s="1"/>
      <c r="M9" s="1"/>
      <c r="N9" s="1"/>
      <c r="O9" s="1"/>
      <c r="AI9" s="1"/>
      <c r="AJ9" s="1"/>
      <c r="AK9" s="1"/>
      <c r="AL9" s="1"/>
      <c r="AM9" s="1"/>
      <c r="BF9" s="2"/>
      <c r="BG9" s="1"/>
      <c r="BH9" s="1"/>
      <c r="BI9" s="1"/>
      <c r="BJ9" s="1"/>
      <c r="BK9" s="1"/>
      <c r="BL9" s="1"/>
      <c r="BM9" s="1"/>
      <c r="BN9" s="1"/>
      <c r="BO9" s="1"/>
    </row>
    <row r="10" spans="1:159" ht="19" customHeight="1" x14ac:dyDescent="0.3">
      <c r="A10" s="2" t="s">
        <v>8</v>
      </c>
      <c r="B10" s="2" t="s">
        <v>9</v>
      </c>
      <c r="E10" s="1"/>
      <c r="F10" s="1"/>
      <c r="G10" s="1"/>
      <c r="H10" s="1"/>
      <c r="I10" s="1"/>
      <c r="K10" s="1"/>
      <c r="L10" s="1"/>
      <c r="M10" s="1"/>
      <c r="N10" s="1"/>
      <c r="O10" s="1"/>
      <c r="AI10" s="1"/>
      <c r="AJ10" s="1"/>
      <c r="AK10" s="1"/>
      <c r="AL10" s="1"/>
      <c r="AM10" s="1"/>
      <c r="BF10" s="2"/>
      <c r="BG10" s="1"/>
      <c r="BH10" s="1"/>
      <c r="BI10" s="1"/>
      <c r="BJ10" s="1"/>
      <c r="BK10" s="1"/>
      <c r="BL10" s="1"/>
      <c r="BM10" s="1"/>
      <c r="BN10" s="1"/>
      <c r="BO10" s="1"/>
    </row>
    <row r="11" spans="1:159" x14ac:dyDescent="0.3">
      <c r="A11" s="2" t="s">
        <v>10</v>
      </c>
      <c r="B11" s="2" t="s">
        <v>11</v>
      </c>
      <c r="E11" s="1"/>
      <c r="F11" s="1"/>
      <c r="G11" s="1"/>
      <c r="H11" s="1"/>
      <c r="I11" s="1"/>
      <c r="K11" s="1"/>
      <c r="L11" s="1"/>
      <c r="M11" s="1"/>
      <c r="N11" s="1"/>
      <c r="O11" s="1"/>
      <c r="AI11" s="1"/>
      <c r="AJ11" s="1"/>
      <c r="AK11" s="1"/>
      <c r="AL11" s="1"/>
      <c r="AM11" s="1"/>
      <c r="AZ11" s="3"/>
      <c r="BF11" s="2"/>
      <c r="BG11" s="1"/>
      <c r="BH11" s="1"/>
      <c r="BI11" s="1"/>
      <c r="BJ11" s="1"/>
      <c r="BK11" s="1"/>
      <c r="BL11" s="1"/>
      <c r="BM11" s="1"/>
      <c r="BN11" s="1"/>
      <c r="BO11" s="1"/>
    </row>
    <row r="12" spans="1:159" ht="19" customHeight="1" x14ac:dyDescent="0.3">
      <c r="A12" s="2" t="s">
        <v>12</v>
      </c>
      <c r="B12" s="2" t="s">
        <v>13</v>
      </c>
      <c r="E12" s="1"/>
      <c r="F12" s="1"/>
      <c r="G12" s="1"/>
      <c r="H12" s="1"/>
      <c r="I12" s="1"/>
      <c r="K12" s="1"/>
      <c r="L12" s="1"/>
      <c r="M12" s="1"/>
      <c r="N12" s="1"/>
      <c r="O12" s="1"/>
      <c r="AI12" s="1"/>
      <c r="AJ12" s="1"/>
      <c r="AK12" s="1"/>
      <c r="AL12" s="1"/>
      <c r="AM12" s="1"/>
      <c r="BF12" s="2"/>
      <c r="BG12" s="1"/>
      <c r="BH12" s="1"/>
      <c r="BI12" s="1"/>
      <c r="BJ12" s="1"/>
      <c r="BK12" s="1"/>
      <c r="BL12" s="1"/>
      <c r="BM12" s="1"/>
      <c r="BN12" s="1"/>
      <c r="BO12" s="1"/>
    </row>
    <row r="13" spans="1:159" ht="19" customHeight="1" x14ac:dyDescent="0.3">
      <c r="A13" s="2"/>
      <c r="B13" s="2"/>
      <c r="D13" s="4"/>
      <c r="E13" s="1"/>
      <c r="F13" s="1"/>
      <c r="G13" s="1"/>
      <c r="H13" s="1"/>
      <c r="I13" s="1"/>
      <c r="K13" s="1"/>
      <c r="L13" s="1"/>
      <c r="M13" s="1"/>
      <c r="N13" s="1"/>
      <c r="O13" s="1"/>
      <c r="AI13" s="1"/>
      <c r="AJ13" s="1"/>
      <c r="AK13" s="1"/>
      <c r="AL13" s="1"/>
      <c r="AM13" s="1"/>
      <c r="BF13" s="2"/>
      <c r="BG13" s="5"/>
      <c r="BH13" s="5"/>
      <c r="BI13" s="5"/>
      <c r="BJ13" s="5"/>
      <c r="BK13" s="5"/>
      <c r="BL13" s="5"/>
      <c r="BM13" s="5"/>
      <c r="BN13" s="5"/>
      <c r="BO13" s="5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</row>
    <row r="14" spans="1:159" ht="26" x14ac:dyDescent="0.3">
      <c r="C14" s="4"/>
      <c r="D14" s="6"/>
      <c r="E14" s="44" t="s">
        <v>14</v>
      </c>
      <c r="F14" s="45"/>
      <c r="G14" s="45"/>
      <c r="H14" s="45"/>
      <c r="I14" s="45"/>
      <c r="J14" s="6" t="s">
        <v>15</v>
      </c>
      <c r="K14" s="46" t="s">
        <v>16</v>
      </c>
      <c r="L14" s="46"/>
      <c r="M14" s="46"/>
      <c r="N14" s="46"/>
      <c r="O14" s="46"/>
      <c r="P14" s="6" t="s">
        <v>15</v>
      </c>
      <c r="Q14" s="43" t="s">
        <v>14</v>
      </c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6" t="s">
        <v>15</v>
      </c>
      <c r="AI14" s="47" t="s">
        <v>17</v>
      </c>
      <c r="AJ14" s="47"/>
      <c r="AK14" s="47"/>
      <c r="AL14" s="47"/>
      <c r="AM14" s="47"/>
      <c r="AN14" s="6" t="s">
        <v>15</v>
      </c>
      <c r="AO14" s="47" t="s">
        <v>17</v>
      </c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</row>
    <row r="15" spans="1:159" ht="26" x14ac:dyDescent="0.3">
      <c r="C15" s="4"/>
      <c r="D15" s="8" t="s">
        <v>15</v>
      </c>
      <c r="E15" s="9" t="s">
        <v>18</v>
      </c>
      <c r="F15" s="10" t="s">
        <v>19</v>
      </c>
      <c r="G15" s="10" t="s">
        <v>20</v>
      </c>
      <c r="H15" s="10" t="s">
        <v>21</v>
      </c>
      <c r="I15" s="11" t="s">
        <v>22</v>
      </c>
      <c r="J15" s="12" t="s">
        <v>15</v>
      </c>
      <c r="K15" s="13" t="s">
        <v>18</v>
      </c>
      <c r="L15" s="13" t="s">
        <v>19</v>
      </c>
      <c r="M15" s="13" t="s">
        <v>20</v>
      </c>
      <c r="N15" s="13" t="s">
        <v>21</v>
      </c>
      <c r="O15" s="13" t="s">
        <v>22</v>
      </c>
      <c r="P15" s="12" t="s">
        <v>15</v>
      </c>
      <c r="Q15" s="14" t="s">
        <v>23</v>
      </c>
      <c r="R15" s="14" t="s">
        <v>24</v>
      </c>
      <c r="S15" s="15" t="s">
        <v>25</v>
      </c>
      <c r="T15" s="15" t="s">
        <v>26</v>
      </c>
      <c r="U15" s="15" t="s">
        <v>27</v>
      </c>
      <c r="V15" s="15" t="s">
        <v>28</v>
      </c>
      <c r="W15" s="15" t="s">
        <v>29</v>
      </c>
      <c r="X15" s="15" t="s">
        <v>30</v>
      </c>
      <c r="Y15" s="15" t="s">
        <v>31</v>
      </c>
      <c r="Z15" s="15" t="s">
        <v>32</v>
      </c>
      <c r="AA15" s="15" t="s">
        <v>33</v>
      </c>
      <c r="AB15" s="16" t="s">
        <v>34</v>
      </c>
      <c r="AC15" s="16" t="s">
        <v>35</v>
      </c>
      <c r="AD15" s="16" t="s">
        <v>4</v>
      </c>
      <c r="AE15" s="17" t="s">
        <v>6</v>
      </c>
      <c r="AF15" s="17" t="s">
        <v>8</v>
      </c>
      <c r="AG15" s="17" t="s">
        <v>10</v>
      </c>
      <c r="AH15" s="12" t="s">
        <v>15</v>
      </c>
      <c r="AI15" s="13" t="s">
        <v>36</v>
      </c>
      <c r="AJ15" s="13" t="s">
        <v>37</v>
      </c>
      <c r="AK15" s="13" t="s">
        <v>38</v>
      </c>
      <c r="AL15" s="13" t="s">
        <v>39</v>
      </c>
      <c r="AM15" s="13" t="s">
        <v>40</v>
      </c>
      <c r="AN15" s="12" t="s">
        <v>15</v>
      </c>
      <c r="AO15" s="15" t="s">
        <v>41</v>
      </c>
      <c r="AP15" s="15" t="s">
        <v>42</v>
      </c>
      <c r="AQ15" s="15" t="s">
        <v>25</v>
      </c>
      <c r="AR15" s="15" t="s">
        <v>26</v>
      </c>
      <c r="AS15" s="15" t="s">
        <v>27</v>
      </c>
      <c r="AT15" s="15" t="s">
        <v>28</v>
      </c>
      <c r="AU15" s="15" t="s">
        <v>29</v>
      </c>
      <c r="AV15" s="15" t="s">
        <v>30</v>
      </c>
      <c r="AW15" s="15" t="s">
        <v>31</v>
      </c>
      <c r="AX15" s="15" t="s">
        <v>32</v>
      </c>
      <c r="AY15" s="15" t="s">
        <v>33</v>
      </c>
      <c r="AZ15" s="18" t="s">
        <v>34</v>
      </c>
      <c r="BA15" s="18" t="s">
        <v>35</v>
      </c>
      <c r="BB15" s="18" t="s">
        <v>4</v>
      </c>
      <c r="BC15" s="19" t="s">
        <v>6</v>
      </c>
      <c r="BD15" s="19" t="s">
        <v>8</v>
      </c>
      <c r="BE15" s="19" t="s">
        <v>10</v>
      </c>
      <c r="BF15" s="7" t="s">
        <v>15</v>
      </c>
      <c r="BG15" s="7" t="s">
        <v>15</v>
      </c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</row>
    <row r="16" spans="1:159" ht="26" x14ac:dyDescent="0.3">
      <c r="C16" s="4"/>
      <c r="D16" s="20" t="s">
        <v>43</v>
      </c>
      <c r="E16" s="7" t="s">
        <v>44</v>
      </c>
      <c r="F16" s="7" t="s">
        <v>45</v>
      </c>
      <c r="G16" s="7" t="s">
        <v>46</v>
      </c>
      <c r="H16" s="7" t="s">
        <v>47</v>
      </c>
      <c r="I16" s="21" t="s">
        <v>48</v>
      </c>
      <c r="J16" s="22" t="s">
        <v>43</v>
      </c>
      <c r="K16" s="7" t="s">
        <v>49</v>
      </c>
      <c r="L16" s="7" t="s">
        <v>50</v>
      </c>
      <c r="M16" s="7" t="s">
        <v>51</v>
      </c>
      <c r="N16" s="7" t="s">
        <v>52</v>
      </c>
      <c r="O16" s="21" t="s">
        <v>53</v>
      </c>
      <c r="P16" s="22" t="s">
        <v>43</v>
      </c>
      <c r="Q16" s="7">
        <v>4.6568999999999999E-2</v>
      </c>
      <c r="R16" s="7">
        <v>2.4109999999999999E-2</v>
      </c>
      <c r="S16" s="7">
        <v>0.94912700000000005</v>
      </c>
      <c r="T16" s="7">
        <v>0.95085299999999995</v>
      </c>
      <c r="U16" s="7">
        <v>0.98212200000000005</v>
      </c>
      <c r="V16" s="7">
        <v>115.23826200000001</v>
      </c>
      <c r="W16" s="7">
        <v>105.894308</v>
      </c>
      <c r="X16" s="7">
        <v>13.328310999999999</v>
      </c>
      <c r="Y16" s="7">
        <v>29.820588999999998</v>
      </c>
      <c r="Z16" s="7">
        <v>30.230872000000002</v>
      </c>
      <c r="AA16" s="7">
        <v>37.591101999999999</v>
      </c>
      <c r="AB16" s="7">
        <f t="shared" ref="AB16:AB20" si="0">U16/T16</f>
        <v>1.032885209385678</v>
      </c>
      <c r="AC16" s="7">
        <f t="shared" ref="AC16:AC20" si="1">AA16/Z16</f>
        <v>1.2434673402738763</v>
      </c>
      <c r="AD16" s="7">
        <f t="shared" ref="AD16:AD20" si="2">X16/W16</f>
        <v>0.1258642815815936</v>
      </c>
      <c r="AE16" s="7">
        <f t="shared" ref="AE16:AE20" si="3">(U16-S16)/(1-S16)</f>
        <v>0.64857586539028622</v>
      </c>
      <c r="AF16" s="7">
        <f t="shared" ref="AF16:AF20" si="4">(AA16-Y16)/(100-Y16)</f>
        <v>0.11072354255010776</v>
      </c>
      <c r="AG16" s="7">
        <f t="shared" ref="AG16:AG20" si="5">(V16-X16)/V16</f>
        <v>0.88434127026317011</v>
      </c>
      <c r="AH16" s="22" t="s">
        <v>43</v>
      </c>
      <c r="AI16" s="7" t="s">
        <v>54</v>
      </c>
      <c r="AJ16" s="7" t="s">
        <v>55</v>
      </c>
      <c r="AK16" s="7" t="s">
        <v>56</v>
      </c>
      <c r="AL16" s="7" t="s">
        <v>57</v>
      </c>
      <c r="AM16" s="7" t="s">
        <v>58</v>
      </c>
      <c r="AN16" s="22" t="s">
        <v>43</v>
      </c>
      <c r="AO16" s="7">
        <v>7.0878999999999998E-2</v>
      </c>
      <c r="AP16" s="7">
        <v>4.4297000000000003E-2</v>
      </c>
      <c r="AQ16" s="7">
        <v>0.95341299999999995</v>
      </c>
      <c r="AR16" s="7">
        <v>0.95603099999999996</v>
      </c>
      <c r="AS16" s="7">
        <v>0.98306700000000002</v>
      </c>
      <c r="AT16" s="7">
        <v>218.211623</v>
      </c>
      <c r="AU16" s="7">
        <v>207.360443</v>
      </c>
      <c r="AV16" s="7">
        <v>11.917474</v>
      </c>
      <c r="AW16" s="7">
        <v>35.649062000000001</v>
      </c>
      <c r="AX16" s="7">
        <v>34.327083000000002</v>
      </c>
      <c r="AY16" s="7">
        <v>39.728526000000002</v>
      </c>
      <c r="AZ16" s="7">
        <f t="shared" ref="AZ16:AZ20" si="6">AS16/AR16</f>
        <v>1.0282794177176264</v>
      </c>
      <c r="BA16" s="7">
        <f t="shared" ref="BA16:BA20" si="7">AY16/AX16</f>
        <v>1.1573522282682744</v>
      </c>
      <c r="BB16" s="7">
        <f t="shared" ref="BB16:BB20" si="8">AV16/AU16</f>
        <v>5.7472263405610104E-2</v>
      </c>
      <c r="BC16" s="7">
        <f t="shared" ref="BC16:BC20" si="9">(AS16-AQ16)/(1-AQ16)</f>
        <v>0.63652950393886798</v>
      </c>
      <c r="BD16" s="7">
        <f t="shared" ref="BD16:BD20" si="10">(AY16-AW16)/(100-AW16)</f>
        <v>6.3394009889956873E-2</v>
      </c>
      <c r="BE16" s="7">
        <f t="shared" ref="BE16:BE20" si="11">(AT16-AV16)/AT16</f>
        <v>0.94538570477522177</v>
      </c>
      <c r="BF16" s="7" t="s">
        <v>15</v>
      </c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</row>
    <row r="17" spans="3:159" ht="26" x14ac:dyDescent="0.3">
      <c r="C17" s="4"/>
      <c r="D17" s="20" t="s">
        <v>59</v>
      </c>
      <c r="E17" s="7" t="s">
        <v>60</v>
      </c>
      <c r="F17" s="7" t="s">
        <v>61</v>
      </c>
      <c r="G17" s="7" t="s">
        <v>62</v>
      </c>
      <c r="H17" s="7" t="s">
        <v>63</v>
      </c>
      <c r="I17" s="21" t="s">
        <v>64</v>
      </c>
      <c r="J17" s="20" t="s">
        <v>59</v>
      </c>
      <c r="K17" s="7" t="s">
        <v>65</v>
      </c>
      <c r="L17" s="7" t="s">
        <v>66</v>
      </c>
      <c r="M17" s="7" t="s">
        <v>67</v>
      </c>
      <c r="N17" s="7" t="s">
        <v>68</v>
      </c>
      <c r="O17" s="21" t="s">
        <v>69</v>
      </c>
      <c r="P17" s="20" t="s">
        <v>59</v>
      </c>
      <c r="Q17" s="7">
        <v>4.9057999999999997E-2</v>
      </c>
      <c r="R17" s="7">
        <v>2.5328E-2</v>
      </c>
      <c r="S17" s="7">
        <v>0.94912700000000005</v>
      </c>
      <c r="T17" s="7">
        <v>0.95004699999999997</v>
      </c>
      <c r="U17" s="7">
        <v>0.98239900000000002</v>
      </c>
      <c r="V17" s="7">
        <v>115.23826200000001</v>
      </c>
      <c r="W17" s="7">
        <v>108.588387</v>
      </c>
      <c r="X17" s="7">
        <v>13.777753000000001</v>
      </c>
      <c r="Y17" s="7">
        <v>29.820588999999998</v>
      </c>
      <c r="Z17" s="7">
        <v>29.972439000000001</v>
      </c>
      <c r="AA17" s="7">
        <v>37.444429</v>
      </c>
      <c r="AB17" s="7">
        <f t="shared" si="0"/>
        <v>1.0340530521121587</v>
      </c>
      <c r="AC17" s="7">
        <f t="shared" si="1"/>
        <v>1.249295360981467</v>
      </c>
      <c r="AD17" s="7">
        <f t="shared" si="2"/>
        <v>0.12688053833970295</v>
      </c>
      <c r="AE17" s="7">
        <f t="shared" si="3"/>
        <v>0.65402079688636416</v>
      </c>
      <c r="AF17" s="7">
        <f t="shared" si="4"/>
        <v>0.10863357060662708</v>
      </c>
      <c r="AG17" s="7">
        <f t="shared" si="5"/>
        <v>0.88044115937812384</v>
      </c>
      <c r="AH17" s="20" t="s">
        <v>59</v>
      </c>
      <c r="AI17" s="7" t="s">
        <v>70</v>
      </c>
      <c r="AJ17" s="7" t="s">
        <v>71</v>
      </c>
      <c r="AK17" s="7" t="s">
        <v>72</v>
      </c>
      <c r="AL17" s="7" t="s">
        <v>73</v>
      </c>
      <c r="AM17" s="7" t="s">
        <v>74</v>
      </c>
      <c r="AN17" s="20" t="s">
        <v>59</v>
      </c>
      <c r="AO17" s="7">
        <v>6.7612000000000005E-2</v>
      </c>
      <c r="AP17" s="7">
        <v>4.4691000000000002E-2</v>
      </c>
      <c r="AQ17" s="7">
        <v>0.95341299999999995</v>
      </c>
      <c r="AR17" s="7">
        <v>0.95514600000000005</v>
      </c>
      <c r="AS17" s="7">
        <v>0.98332600000000003</v>
      </c>
      <c r="AT17" s="7">
        <v>218.211623</v>
      </c>
      <c r="AU17" s="7">
        <v>214.22200900000001</v>
      </c>
      <c r="AV17" s="7">
        <v>11.792827000000001</v>
      </c>
      <c r="AW17" s="7">
        <v>35.649062000000001</v>
      </c>
      <c r="AX17" s="7">
        <v>33.990735000000001</v>
      </c>
      <c r="AY17" s="7">
        <v>39.719842</v>
      </c>
      <c r="AZ17" s="7">
        <f t="shared" si="6"/>
        <v>1.0295033429444294</v>
      </c>
      <c r="BA17" s="7">
        <f t="shared" si="7"/>
        <v>1.1685490766822193</v>
      </c>
      <c r="BB17" s="7">
        <f t="shared" si="8"/>
        <v>5.5049558423289735E-2</v>
      </c>
      <c r="BC17" s="7">
        <f t="shared" si="9"/>
        <v>0.64208899478395365</v>
      </c>
      <c r="BD17" s="7">
        <f t="shared" si="10"/>
        <v>6.3259062362074653E-2</v>
      </c>
      <c r="BE17" s="7">
        <f t="shared" si="11"/>
        <v>0.94595692549337762</v>
      </c>
      <c r="BF17" s="7" t="s">
        <v>15</v>
      </c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</row>
    <row r="18" spans="3:159" ht="26" x14ac:dyDescent="0.3">
      <c r="C18" s="4"/>
      <c r="D18" s="20" t="s">
        <v>75</v>
      </c>
      <c r="E18" s="7" t="s">
        <v>76</v>
      </c>
      <c r="F18" s="7" t="s">
        <v>77</v>
      </c>
      <c r="G18" s="7" t="s">
        <v>78</v>
      </c>
      <c r="H18" s="7" t="s">
        <v>79</v>
      </c>
      <c r="I18" s="21" t="s">
        <v>80</v>
      </c>
      <c r="J18" s="20" t="s">
        <v>75</v>
      </c>
      <c r="K18" s="7" t="s">
        <v>81</v>
      </c>
      <c r="L18" s="7" t="s">
        <v>82</v>
      </c>
      <c r="M18" s="7" t="s">
        <v>83</v>
      </c>
      <c r="N18" s="7" t="s">
        <v>84</v>
      </c>
      <c r="O18" s="21" t="s">
        <v>85</v>
      </c>
      <c r="P18" s="20" t="s">
        <v>75</v>
      </c>
      <c r="Q18" s="7">
        <v>4.4488E-2</v>
      </c>
      <c r="R18" s="7">
        <v>2.1576000000000001E-2</v>
      </c>
      <c r="S18" s="7">
        <v>0.94912700000000005</v>
      </c>
      <c r="T18" s="7">
        <v>0.94918100000000005</v>
      </c>
      <c r="U18" s="7">
        <v>0.98181499999999999</v>
      </c>
      <c r="V18" s="7">
        <v>115.23826200000001</v>
      </c>
      <c r="W18" s="7">
        <v>109.16560699999999</v>
      </c>
      <c r="X18" s="7">
        <v>13.508329</v>
      </c>
      <c r="Y18" s="7">
        <v>29.820588999999998</v>
      </c>
      <c r="Z18" s="7">
        <v>30.033947000000001</v>
      </c>
      <c r="AA18" s="7">
        <v>37.561014</v>
      </c>
      <c r="AB18" s="7">
        <f t="shared" si="0"/>
        <v>1.0343812191773749</v>
      </c>
      <c r="AC18" s="7">
        <f t="shared" si="1"/>
        <v>1.2506186416324168</v>
      </c>
      <c r="AD18" s="7">
        <f t="shared" si="2"/>
        <v>0.12374161946445277</v>
      </c>
      <c r="AE18" s="7">
        <f t="shared" si="3"/>
        <v>0.64254123012206821</v>
      </c>
      <c r="AF18" s="7">
        <f t="shared" si="4"/>
        <v>0.11029481281910447</v>
      </c>
      <c r="AG18" s="7">
        <f t="shared" si="5"/>
        <v>0.88277913285432918</v>
      </c>
      <c r="AH18" s="20" t="s">
        <v>75</v>
      </c>
      <c r="AI18" s="7" t="s">
        <v>86</v>
      </c>
      <c r="AJ18" s="7" t="s">
        <v>87</v>
      </c>
      <c r="AK18" s="7" t="s">
        <v>88</v>
      </c>
      <c r="AL18" s="7" t="s">
        <v>89</v>
      </c>
      <c r="AM18" s="7" t="s">
        <v>90</v>
      </c>
      <c r="AN18" s="20" t="s">
        <v>75</v>
      </c>
      <c r="AO18" s="7">
        <v>5.1411999999999999E-2</v>
      </c>
      <c r="AP18" s="7">
        <v>3.5349999999999999E-2</v>
      </c>
      <c r="AQ18" s="7">
        <v>0.95341299999999995</v>
      </c>
      <c r="AR18" s="7">
        <v>0.95475200000000005</v>
      </c>
      <c r="AS18" s="7">
        <v>0.98293900000000001</v>
      </c>
      <c r="AT18" s="7">
        <v>218.211623</v>
      </c>
      <c r="AU18" s="7">
        <v>213.26639</v>
      </c>
      <c r="AV18" s="7">
        <v>11.846771</v>
      </c>
      <c r="AW18" s="7">
        <v>35.649062000000001</v>
      </c>
      <c r="AX18" s="7">
        <v>34.117227999999997</v>
      </c>
      <c r="AY18" s="7">
        <v>39.765183999999998</v>
      </c>
      <c r="AZ18" s="7">
        <f t="shared" si="6"/>
        <v>1.0295228499128568</v>
      </c>
      <c r="BA18" s="7">
        <f t="shared" si="7"/>
        <v>1.1655455712873273</v>
      </c>
      <c r="BB18" s="7">
        <f t="shared" si="8"/>
        <v>5.5549170218523417E-2</v>
      </c>
      <c r="BC18" s="7">
        <f t="shared" si="9"/>
        <v>0.63378195633975198</v>
      </c>
      <c r="BD18" s="7">
        <f t="shared" si="10"/>
        <v>6.3963667475989194E-2</v>
      </c>
      <c r="BE18" s="7">
        <f t="shared" si="11"/>
        <v>0.94570971593020969</v>
      </c>
      <c r="BF18" s="7" t="s">
        <v>15</v>
      </c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</row>
    <row r="19" spans="3:159" ht="26" x14ac:dyDescent="0.3">
      <c r="C19" s="4"/>
      <c r="D19" s="20" t="s">
        <v>91</v>
      </c>
      <c r="E19" s="7" t="s">
        <v>92</v>
      </c>
      <c r="F19" s="7" t="s">
        <v>93</v>
      </c>
      <c r="G19" s="7" t="s">
        <v>94</v>
      </c>
      <c r="H19" s="7" t="s">
        <v>95</v>
      </c>
      <c r="I19" s="21" t="s">
        <v>96</v>
      </c>
      <c r="J19" s="20" t="s">
        <v>91</v>
      </c>
      <c r="K19" s="7" t="s">
        <v>97</v>
      </c>
      <c r="L19" s="7" t="s">
        <v>98</v>
      </c>
      <c r="M19" s="7" t="s">
        <v>99</v>
      </c>
      <c r="N19" s="7" t="s">
        <v>100</v>
      </c>
      <c r="O19" s="21" t="s">
        <v>101</v>
      </c>
      <c r="P19" s="20" t="s">
        <v>91</v>
      </c>
      <c r="Q19" s="7">
        <v>5.0131000000000002E-2</v>
      </c>
      <c r="R19" s="7">
        <v>2.811E-2</v>
      </c>
      <c r="S19" s="7">
        <v>0.94912700000000005</v>
      </c>
      <c r="T19" s="7">
        <v>0.95045000000000002</v>
      </c>
      <c r="U19" s="7">
        <v>0.98241599999999996</v>
      </c>
      <c r="V19" s="7">
        <v>115.23826200000001</v>
      </c>
      <c r="W19" s="7">
        <v>107.333147</v>
      </c>
      <c r="X19" s="7">
        <v>13.306359</v>
      </c>
      <c r="Y19" s="7">
        <v>29.820588999999998</v>
      </c>
      <c r="Z19" s="7">
        <v>30.072367</v>
      </c>
      <c r="AA19" s="7">
        <v>37.630558000000001</v>
      </c>
      <c r="AB19" s="7">
        <f t="shared" si="0"/>
        <v>1.0336324898732179</v>
      </c>
      <c r="AC19" s="7">
        <f t="shared" si="1"/>
        <v>1.2513334251341106</v>
      </c>
      <c r="AD19" s="7">
        <f t="shared" si="2"/>
        <v>0.12397250403922286</v>
      </c>
      <c r="AE19" s="7">
        <f t="shared" si="3"/>
        <v>0.65435496235724133</v>
      </c>
      <c r="AF19" s="7">
        <f t="shared" si="4"/>
        <v>0.11128575872487734</v>
      </c>
      <c r="AG19" s="7">
        <f t="shared" si="5"/>
        <v>0.88453176254949073</v>
      </c>
      <c r="AH19" s="20" t="s">
        <v>91</v>
      </c>
      <c r="AI19" s="7" t="s">
        <v>102</v>
      </c>
      <c r="AJ19" s="7" t="s">
        <v>103</v>
      </c>
      <c r="AK19" s="7" t="s">
        <v>104</v>
      </c>
      <c r="AL19" s="7" t="s">
        <v>105</v>
      </c>
      <c r="AM19" s="7" t="s">
        <v>106</v>
      </c>
      <c r="AN19" s="20" t="s">
        <v>91</v>
      </c>
      <c r="AO19" s="7">
        <v>7.0022000000000001E-2</v>
      </c>
      <c r="AP19" s="7">
        <v>5.2077999999999999E-2</v>
      </c>
      <c r="AQ19" s="7">
        <v>0.95341299999999995</v>
      </c>
      <c r="AR19" s="7">
        <v>0.95546699999999996</v>
      </c>
      <c r="AS19" s="7">
        <v>0.98326199999999997</v>
      </c>
      <c r="AT19" s="7">
        <v>218.211623</v>
      </c>
      <c r="AU19" s="7">
        <v>210.19897</v>
      </c>
      <c r="AV19" s="7">
        <v>11.409243999999999</v>
      </c>
      <c r="AW19" s="7">
        <v>35.649062000000001</v>
      </c>
      <c r="AX19" s="7">
        <v>34.277335000000001</v>
      </c>
      <c r="AY19" s="7">
        <v>39.964585999999997</v>
      </c>
      <c r="AZ19" s="7">
        <f t="shared" si="6"/>
        <v>1.0290904866416108</v>
      </c>
      <c r="BA19" s="7">
        <f t="shared" si="7"/>
        <v>1.1659187040065979</v>
      </c>
      <c r="BB19" s="7">
        <f t="shared" si="8"/>
        <v>5.4278305930804509E-2</v>
      </c>
      <c r="BC19" s="7">
        <f t="shared" si="9"/>
        <v>0.64071522098439448</v>
      </c>
      <c r="BD19" s="7">
        <f t="shared" si="10"/>
        <v>6.7062332486901688E-2</v>
      </c>
      <c r="BE19" s="7">
        <f t="shared" si="11"/>
        <v>0.94771477411173466</v>
      </c>
      <c r="BF19" s="7" t="s">
        <v>15</v>
      </c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</row>
    <row r="20" spans="3:159" ht="26" x14ac:dyDescent="0.3">
      <c r="C20" s="4"/>
      <c r="D20" s="20" t="s">
        <v>107</v>
      </c>
      <c r="E20" s="7" t="s">
        <v>108</v>
      </c>
      <c r="F20" s="7" t="s">
        <v>109</v>
      </c>
      <c r="G20" s="7" t="s">
        <v>110</v>
      </c>
      <c r="H20" s="7" t="s">
        <v>111</v>
      </c>
      <c r="I20" s="21" t="s">
        <v>112</v>
      </c>
      <c r="J20" s="20" t="s">
        <v>107</v>
      </c>
      <c r="K20" s="7" t="s">
        <v>113</v>
      </c>
      <c r="L20" s="7" t="s">
        <v>114</v>
      </c>
      <c r="M20" s="7" t="s">
        <v>115</v>
      </c>
      <c r="N20" s="7" t="s">
        <v>116</v>
      </c>
      <c r="O20" s="21" t="s">
        <v>117</v>
      </c>
      <c r="P20" s="20" t="s">
        <v>107</v>
      </c>
      <c r="Q20" s="7">
        <v>7.4331999999999995E-2</v>
      </c>
      <c r="R20" s="7">
        <v>7.1677000000000005E-2</v>
      </c>
      <c r="S20" s="7">
        <v>0.94912700000000005</v>
      </c>
      <c r="T20" s="7">
        <v>0.94985600000000003</v>
      </c>
      <c r="U20" s="7">
        <v>0.97548299999999999</v>
      </c>
      <c r="V20" s="7">
        <v>115.23826200000001</v>
      </c>
      <c r="W20" s="7">
        <v>101.331525</v>
      </c>
      <c r="X20" s="7">
        <v>21.451999000000001</v>
      </c>
      <c r="Y20" s="7">
        <v>29.820588999999998</v>
      </c>
      <c r="Z20" s="7">
        <v>30.384965000000001</v>
      </c>
      <c r="AA20" s="7">
        <v>35.561528000000003</v>
      </c>
      <c r="AB20" s="7">
        <f t="shared" si="0"/>
        <v>1.0269798790553515</v>
      </c>
      <c r="AC20" s="7">
        <f t="shared" si="1"/>
        <v>1.1703659359160032</v>
      </c>
      <c r="AD20" s="7">
        <f t="shared" si="2"/>
        <v>0.21170113644297764</v>
      </c>
      <c r="AE20" s="7">
        <f t="shared" si="3"/>
        <v>0.51807442061604314</v>
      </c>
      <c r="AF20" s="7">
        <f t="shared" si="4"/>
        <v>8.180375010556877E-2</v>
      </c>
      <c r="AG20" s="7">
        <f t="shared" si="5"/>
        <v>0.81384655905345049</v>
      </c>
      <c r="AH20" s="20" t="s">
        <v>107</v>
      </c>
      <c r="AI20" s="7" t="s">
        <v>118</v>
      </c>
      <c r="AJ20" s="7" t="s">
        <v>119</v>
      </c>
      <c r="AK20" s="7" t="s">
        <v>120</v>
      </c>
      <c r="AL20" s="7" t="s">
        <v>121</v>
      </c>
      <c r="AM20" s="7" t="s">
        <v>122</v>
      </c>
      <c r="AN20" s="20" t="s">
        <v>107</v>
      </c>
      <c r="AO20" s="7">
        <v>8.9537000000000005E-2</v>
      </c>
      <c r="AP20" s="7">
        <v>8.5027000000000005E-2</v>
      </c>
      <c r="AQ20" s="7">
        <v>0.95341299999999995</v>
      </c>
      <c r="AR20" s="7">
        <v>0.95540000000000003</v>
      </c>
      <c r="AS20" s="7">
        <v>0.97670400000000002</v>
      </c>
      <c r="AT20" s="7">
        <v>218.211623</v>
      </c>
      <c r="AU20" s="7">
        <v>202.357764</v>
      </c>
      <c r="AV20" s="7">
        <v>23.141997</v>
      </c>
      <c r="AW20" s="7">
        <v>35.649062000000001</v>
      </c>
      <c r="AX20" s="7">
        <v>34.276096000000003</v>
      </c>
      <c r="AY20" s="7">
        <v>37.467370000000003</v>
      </c>
      <c r="AZ20" s="7">
        <f t="shared" si="6"/>
        <v>1.0222985137115344</v>
      </c>
      <c r="BA20" s="7">
        <f t="shared" si="7"/>
        <v>1.0931049440403013</v>
      </c>
      <c r="BB20" s="7">
        <f t="shared" si="8"/>
        <v>0.11436179439104693</v>
      </c>
      <c r="BC20" s="7">
        <f t="shared" si="9"/>
        <v>0.49994633696095564</v>
      </c>
      <c r="BD20" s="7">
        <f t="shared" si="10"/>
        <v>2.8256122700185068E-2</v>
      </c>
      <c r="BE20" s="7">
        <f t="shared" si="11"/>
        <v>0.89394700116409476</v>
      </c>
      <c r="BF20" s="7" t="s">
        <v>15</v>
      </c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</row>
    <row r="21" spans="3:159" ht="26" x14ac:dyDescent="0.3">
      <c r="C21" s="4"/>
      <c r="D21" s="12" t="s">
        <v>15</v>
      </c>
      <c r="E21" s="7" t="s">
        <v>15</v>
      </c>
      <c r="F21" s="7" t="s">
        <v>15</v>
      </c>
      <c r="G21" s="7" t="s">
        <v>15</v>
      </c>
      <c r="H21" s="7" t="s">
        <v>15</v>
      </c>
      <c r="I21" s="21" t="s">
        <v>15</v>
      </c>
      <c r="J21" s="12" t="s">
        <v>15</v>
      </c>
      <c r="K21" s="7" t="s">
        <v>15</v>
      </c>
      <c r="L21" s="7" t="s">
        <v>15</v>
      </c>
      <c r="M21" s="7" t="s">
        <v>15</v>
      </c>
      <c r="N21" s="7" t="s">
        <v>15</v>
      </c>
      <c r="O21" s="21" t="s">
        <v>15</v>
      </c>
      <c r="P21" s="12" t="s">
        <v>15</v>
      </c>
      <c r="Q21" s="7" t="s">
        <v>15</v>
      </c>
      <c r="R21" s="7" t="s">
        <v>15</v>
      </c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12" t="s">
        <v>15</v>
      </c>
      <c r="AI21" s="7" t="s">
        <v>15</v>
      </c>
      <c r="AJ21" s="7" t="s">
        <v>15</v>
      </c>
      <c r="AK21" s="7" t="s">
        <v>15</v>
      </c>
      <c r="AL21" s="7" t="s">
        <v>15</v>
      </c>
      <c r="AM21" s="7" t="s">
        <v>15</v>
      </c>
      <c r="AN21" s="12" t="s">
        <v>15</v>
      </c>
      <c r="AO21" s="7" t="s">
        <v>15</v>
      </c>
      <c r="AP21" s="7" t="s">
        <v>15</v>
      </c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 t="s">
        <v>15</v>
      </c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</row>
    <row r="22" spans="3:159" ht="26" x14ac:dyDescent="0.3">
      <c r="C22" s="4"/>
      <c r="D22" s="23" t="s">
        <v>123</v>
      </c>
      <c r="E22" s="7" t="s">
        <v>124</v>
      </c>
      <c r="F22" s="7" t="s">
        <v>125</v>
      </c>
      <c r="G22" s="7" t="s">
        <v>126</v>
      </c>
      <c r="H22" s="7" t="s">
        <v>127</v>
      </c>
      <c r="I22" s="21" t="s">
        <v>128</v>
      </c>
      <c r="J22" s="23" t="s">
        <v>123</v>
      </c>
      <c r="K22" s="7" t="s">
        <v>129</v>
      </c>
      <c r="L22" s="7" t="s">
        <v>130</v>
      </c>
      <c r="M22" s="7" t="s">
        <v>131</v>
      </c>
      <c r="N22" s="7" t="s">
        <v>132</v>
      </c>
      <c r="O22" s="21" t="s">
        <v>133</v>
      </c>
      <c r="P22" s="23" t="s">
        <v>123</v>
      </c>
      <c r="Q22" s="7">
        <v>0.18753700000000001</v>
      </c>
      <c r="R22" s="7">
        <v>0.12141200000000001</v>
      </c>
      <c r="S22" s="7">
        <v>0.70025400000000004</v>
      </c>
      <c r="T22" s="7">
        <v>0.72553000000000001</v>
      </c>
      <c r="U22" s="7">
        <v>0.74990900000000005</v>
      </c>
      <c r="V22" s="7">
        <v>948.560337</v>
      </c>
      <c r="W22" s="7">
        <v>838.56916000000001</v>
      </c>
      <c r="X22" s="7">
        <v>850.31141300000002</v>
      </c>
      <c r="Y22" s="7">
        <v>25.153027999999999</v>
      </c>
      <c r="Z22" s="7">
        <v>25.285875000000001</v>
      </c>
      <c r="AA22" s="7">
        <v>26.358778000000001</v>
      </c>
      <c r="AB22" s="7">
        <f t="shared" ref="AB22:AB24" si="12">U22/T22</f>
        <v>1.0336016429368875</v>
      </c>
      <c r="AC22" s="7">
        <f t="shared" ref="AC22:AC24" si="13">AA22/Z22</f>
        <v>1.0424309224023294</v>
      </c>
      <c r="AD22" s="7">
        <f t="shared" ref="AD22:AD24" si="14">X22/W22</f>
        <v>1.0140027245934016</v>
      </c>
      <c r="AE22" s="7">
        <f t="shared" ref="AE22:AE24" si="15">(U22-S22)/(1-S22)</f>
        <v>0.165656922861356</v>
      </c>
      <c r="AF22" s="7">
        <f t="shared" ref="AF22:AF24" si="16">(AA22-Y22)/(100-Y22)</f>
        <v>1.6109536134608117E-2</v>
      </c>
      <c r="AG22" s="7">
        <f t="shared" ref="AG22:AG24" si="17">(V22-X22)/V22</f>
        <v>0.10357688400795952</v>
      </c>
      <c r="AH22" s="23" t="s">
        <v>123</v>
      </c>
      <c r="AI22" s="7" t="s">
        <v>134</v>
      </c>
      <c r="AJ22" s="7" t="s">
        <v>135</v>
      </c>
      <c r="AK22" s="7" t="s">
        <v>136</v>
      </c>
      <c r="AL22" s="7" t="s">
        <v>137</v>
      </c>
      <c r="AM22" s="7" t="s">
        <v>138</v>
      </c>
      <c r="AN22" s="23" t="s">
        <v>123</v>
      </c>
      <c r="AO22" s="7">
        <v>7.4091000000000004E-2</v>
      </c>
      <c r="AP22" s="7">
        <v>6.0985999999999999E-2</v>
      </c>
      <c r="AQ22" s="7">
        <v>0.75560499999999997</v>
      </c>
      <c r="AR22" s="7">
        <v>0.79833799999999999</v>
      </c>
      <c r="AS22" s="7">
        <v>0.76050600000000002</v>
      </c>
      <c r="AT22" s="7">
        <v>1174.8462930000001</v>
      </c>
      <c r="AU22" s="7">
        <v>892.19577100000004</v>
      </c>
      <c r="AV22" s="7">
        <v>1216.9504159999999</v>
      </c>
      <c r="AW22" s="7">
        <v>34.679223</v>
      </c>
      <c r="AX22" s="7">
        <v>36.387909999999998</v>
      </c>
      <c r="AY22" s="7">
        <v>36.358137999999997</v>
      </c>
      <c r="AZ22" s="7">
        <f t="shared" ref="AZ22:AZ24" si="18">AS22/AR22</f>
        <v>0.95261155049615576</v>
      </c>
      <c r="BA22" s="7">
        <f t="shared" ref="BA22:BA24" si="19">AY22/AX22</f>
        <v>0.99918181615816903</v>
      </c>
      <c r="BB22" s="7">
        <f t="shared" ref="BB22:BB24" si="20">AV22/AU22</f>
        <v>1.3639948266466282</v>
      </c>
      <c r="BC22" s="7">
        <f t="shared" ref="BC22:BC24" si="21">(AS22-AQ22)/(1-AQ22)</f>
        <v>2.0053601751263504E-2</v>
      </c>
      <c r="BD22" s="7">
        <f t="shared" ref="BD22:BD24" si="22">(AY22-AW22)/(100-AW22)</f>
        <v>2.5702618326172034E-2</v>
      </c>
      <c r="BE22" s="7">
        <f t="shared" ref="BE22:BE24" si="23">(AT22-AV22)/AT22</f>
        <v>-3.5837984297065695E-2</v>
      </c>
      <c r="BF22" s="7" t="s">
        <v>15</v>
      </c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</row>
    <row r="23" spans="3:159" ht="26" x14ac:dyDescent="0.3">
      <c r="C23" s="4"/>
      <c r="D23" s="24" t="s">
        <v>139</v>
      </c>
      <c r="E23" s="7" t="s">
        <v>140</v>
      </c>
      <c r="F23" s="7" t="s">
        <v>141</v>
      </c>
      <c r="G23" s="7" t="s">
        <v>142</v>
      </c>
      <c r="H23" s="7" t="s">
        <v>143</v>
      </c>
      <c r="I23" s="21" t="s">
        <v>144</v>
      </c>
      <c r="J23" s="24" t="s">
        <v>139</v>
      </c>
      <c r="K23" s="7" t="s">
        <v>145</v>
      </c>
      <c r="L23" s="7" t="s">
        <v>146</v>
      </c>
      <c r="M23" s="7" t="s">
        <v>147</v>
      </c>
      <c r="N23" s="7" t="s">
        <v>148</v>
      </c>
      <c r="O23" s="21" t="s">
        <v>149</v>
      </c>
      <c r="P23" s="24" t="s">
        <v>139</v>
      </c>
      <c r="Q23" s="7">
        <v>0.18407200000000001</v>
      </c>
      <c r="R23" s="7">
        <v>0.11992999999999999</v>
      </c>
      <c r="S23" s="7">
        <v>0.73521999999999998</v>
      </c>
      <c r="T23" s="7">
        <v>0.74613300000000005</v>
      </c>
      <c r="U23" s="7">
        <v>0.77459100000000003</v>
      </c>
      <c r="V23" s="7">
        <v>1044.549886</v>
      </c>
      <c r="W23" s="7">
        <v>926.62448500000005</v>
      </c>
      <c r="X23" s="7">
        <v>936.31847700000003</v>
      </c>
      <c r="Y23" s="7">
        <v>24.429500999999998</v>
      </c>
      <c r="Z23" s="7">
        <v>24.364405000000001</v>
      </c>
      <c r="AA23" s="7">
        <v>25.309163000000002</v>
      </c>
      <c r="AB23" s="7">
        <f t="shared" si="12"/>
        <v>1.03814065320794</v>
      </c>
      <c r="AC23" s="7">
        <f t="shared" si="13"/>
        <v>1.0387761572671279</v>
      </c>
      <c r="AD23" s="7">
        <f t="shared" si="14"/>
        <v>1.0104616186566664</v>
      </c>
      <c r="AE23" s="7">
        <f t="shared" si="15"/>
        <v>0.14869325477755133</v>
      </c>
      <c r="AF23" s="7">
        <f t="shared" si="16"/>
        <v>1.1640283068661533E-2</v>
      </c>
      <c r="AG23" s="7">
        <f t="shared" si="17"/>
        <v>0.10361535667239542</v>
      </c>
      <c r="AH23" s="24" t="s">
        <v>139</v>
      </c>
      <c r="AI23" s="7" t="s">
        <v>150</v>
      </c>
      <c r="AJ23" s="7" t="s">
        <v>151</v>
      </c>
      <c r="AK23" s="7" t="s">
        <v>152</v>
      </c>
      <c r="AL23" s="7" t="s">
        <v>153</v>
      </c>
      <c r="AM23" s="7" t="s">
        <v>154</v>
      </c>
      <c r="AN23" s="24" t="s">
        <v>139</v>
      </c>
      <c r="AO23" s="7">
        <v>7.3224999999999998E-2</v>
      </c>
      <c r="AP23" s="7">
        <v>5.9221999999999997E-2</v>
      </c>
      <c r="AQ23" s="7">
        <v>0.79154400000000003</v>
      </c>
      <c r="AR23" s="7">
        <v>0.82888899999999999</v>
      </c>
      <c r="AS23" s="7">
        <v>0.79747000000000001</v>
      </c>
      <c r="AT23" s="7">
        <v>1117.8006069999999</v>
      </c>
      <c r="AU23" s="7">
        <v>912.84590600000001</v>
      </c>
      <c r="AV23" s="7">
        <v>1164.2233670000001</v>
      </c>
      <c r="AW23" s="7">
        <v>35.390340999999999</v>
      </c>
      <c r="AX23" s="7">
        <v>36.107111000000003</v>
      </c>
      <c r="AY23" s="7">
        <v>34.643020999999997</v>
      </c>
      <c r="AZ23" s="7">
        <f t="shared" si="18"/>
        <v>0.96209504529557033</v>
      </c>
      <c r="BA23" s="7">
        <f t="shared" si="19"/>
        <v>0.95945147757736682</v>
      </c>
      <c r="BB23" s="7">
        <f t="shared" si="20"/>
        <v>1.2753777601977874</v>
      </c>
      <c r="BC23" s="7">
        <f t="shared" si="21"/>
        <v>2.8428061557354969E-2</v>
      </c>
      <c r="BD23" s="7">
        <f t="shared" si="22"/>
        <v>-1.1566691599471251E-2</v>
      </c>
      <c r="BE23" s="7">
        <f t="shared" si="23"/>
        <v>-4.153044801486689E-2</v>
      </c>
      <c r="BF23" s="7" t="s">
        <v>15</v>
      </c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</row>
    <row r="24" spans="3:159" ht="26" x14ac:dyDescent="0.3">
      <c r="C24" s="4"/>
      <c r="D24" s="24" t="s">
        <v>155</v>
      </c>
      <c r="E24" s="7" t="s">
        <v>156</v>
      </c>
      <c r="F24" s="7" t="s">
        <v>157</v>
      </c>
      <c r="G24" s="7" t="s">
        <v>158</v>
      </c>
      <c r="H24" s="7" t="s">
        <v>159</v>
      </c>
      <c r="I24" s="21" t="s">
        <v>160</v>
      </c>
      <c r="J24" s="24" t="s">
        <v>155</v>
      </c>
      <c r="K24" s="7" t="s">
        <v>161</v>
      </c>
      <c r="L24" s="7" t="s">
        <v>162</v>
      </c>
      <c r="M24" s="7" t="s">
        <v>163</v>
      </c>
      <c r="N24" s="7" t="s">
        <v>164</v>
      </c>
      <c r="O24" s="21" t="s">
        <v>165</v>
      </c>
      <c r="P24" s="24" t="s">
        <v>155</v>
      </c>
      <c r="Q24" s="7">
        <v>0.12676100000000001</v>
      </c>
      <c r="R24" s="7">
        <v>0.12653400000000001</v>
      </c>
      <c r="S24" s="7">
        <v>4.46E-4</v>
      </c>
      <c r="T24" s="7">
        <v>3.509E-3</v>
      </c>
      <c r="U24" s="7">
        <v>0.91877699999999995</v>
      </c>
      <c r="V24" s="7">
        <v>16741.820970000001</v>
      </c>
      <c r="W24" s="7">
        <v>16866.421885</v>
      </c>
      <c r="X24" s="7">
        <v>55.909861999999997</v>
      </c>
      <c r="Y24" s="7">
        <v>6.0940779999999997</v>
      </c>
      <c r="Z24" s="7">
        <v>6.057626</v>
      </c>
      <c r="AA24" s="7">
        <v>33.193255000000001</v>
      </c>
      <c r="AB24" s="7">
        <f t="shared" si="12"/>
        <v>261.83442576232545</v>
      </c>
      <c r="AC24" s="7">
        <f t="shared" si="13"/>
        <v>5.4795814399898575</v>
      </c>
      <c r="AD24" s="7">
        <f t="shared" si="14"/>
        <v>3.3148620603237092E-3</v>
      </c>
      <c r="AE24" s="7">
        <f t="shared" si="15"/>
        <v>0.91874075837823665</v>
      </c>
      <c r="AF24" s="7">
        <f t="shared" si="16"/>
        <v>0.28857793441397656</v>
      </c>
      <c r="AG24" s="7">
        <f t="shared" si="17"/>
        <v>0.99666046709613088</v>
      </c>
      <c r="AH24" s="24" t="s">
        <v>155</v>
      </c>
      <c r="AI24" s="7" t="s">
        <v>166</v>
      </c>
      <c r="AJ24" s="7" t="s">
        <v>167</v>
      </c>
      <c r="AK24" s="7" t="s">
        <v>168</v>
      </c>
      <c r="AL24" s="7" t="s">
        <v>169</v>
      </c>
      <c r="AM24" s="7" t="s">
        <v>170</v>
      </c>
      <c r="AN24" s="24" t="s">
        <v>155</v>
      </c>
      <c r="AO24" s="7">
        <v>9.3630000000000005E-2</v>
      </c>
      <c r="AP24" s="7">
        <v>9.2077000000000006E-2</v>
      </c>
      <c r="AQ24" s="7">
        <v>4.46E-4</v>
      </c>
      <c r="AR24" s="7">
        <v>8.8000000000000003E-4</v>
      </c>
      <c r="AS24" s="7">
        <v>0.94039899999999998</v>
      </c>
      <c r="AT24" s="7">
        <v>29399.310283999999</v>
      </c>
      <c r="AU24" s="7">
        <v>29464.446647000001</v>
      </c>
      <c r="AV24" s="7">
        <v>102.779211</v>
      </c>
      <c r="AW24" s="7">
        <v>4.9628870000000003</v>
      </c>
      <c r="AX24" s="7">
        <v>4.9465950000000003</v>
      </c>
      <c r="AY24" s="7">
        <v>40.800012000000002</v>
      </c>
      <c r="AZ24" s="7">
        <f t="shared" si="18"/>
        <v>1068.6352272727272</v>
      </c>
      <c r="BA24" s="7">
        <f t="shared" si="19"/>
        <v>8.2481003599445675</v>
      </c>
      <c r="BB24" s="7">
        <f t="shared" si="20"/>
        <v>3.4882450782582316E-3</v>
      </c>
      <c r="BC24" s="7">
        <f t="shared" si="21"/>
        <v>0.94037240609311756</v>
      </c>
      <c r="BD24" s="7">
        <f t="shared" si="22"/>
        <v>0.37708558129285763</v>
      </c>
      <c r="BE24" s="7">
        <f t="shared" si="23"/>
        <v>0.99650402645479963</v>
      </c>
      <c r="BF24" s="7" t="s">
        <v>15</v>
      </c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</row>
    <row r="25" spans="3:159" ht="26" x14ac:dyDescent="0.3">
      <c r="C25" s="4"/>
      <c r="D25" s="24" t="s">
        <v>171</v>
      </c>
      <c r="E25" s="7" t="s">
        <v>172</v>
      </c>
      <c r="F25" s="7" t="s">
        <v>173</v>
      </c>
      <c r="G25" s="7" t="s">
        <v>174</v>
      </c>
      <c r="H25" s="7" t="s">
        <v>175</v>
      </c>
      <c r="I25" s="21" t="s">
        <v>176</v>
      </c>
      <c r="J25" s="24" t="s">
        <v>171</v>
      </c>
      <c r="K25" s="7" t="s">
        <v>177</v>
      </c>
      <c r="L25" s="7" t="s">
        <v>178</v>
      </c>
      <c r="M25" s="7" t="s">
        <v>179</v>
      </c>
      <c r="N25" s="7" t="s">
        <v>180</v>
      </c>
      <c r="O25" s="21" t="s">
        <v>181</v>
      </c>
      <c r="P25" s="24" t="s">
        <v>171</v>
      </c>
      <c r="Q25" s="7">
        <v>8.6261000000000004E-2</v>
      </c>
      <c r="R25" s="7">
        <v>4.2930999999999997E-2</v>
      </c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24" t="s">
        <v>171</v>
      </c>
      <c r="AI25" s="7" t="s">
        <v>182</v>
      </c>
      <c r="AJ25" s="7" t="s">
        <v>183</v>
      </c>
      <c r="AK25" s="7" t="s">
        <v>184</v>
      </c>
      <c r="AL25" s="7" t="s">
        <v>185</v>
      </c>
      <c r="AM25" s="7" t="s">
        <v>186</v>
      </c>
      <c r="AN25" s="24" t="s">
        <v>171</v>
      </c>
      <c r="AO25" s="7">
        <v>5.9922000000000003E-2</v>
      </c>
      <c r="AP25" s="7">
        <v>3.0584E-2</v>
      </c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 t="s">
        <v>15</v>
      </c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</row>
    <row r="26" spans="3:159" ht="26" x14ac:dyDescent="0.3">
      <c r="C26" s="4"/>
      <c r="D26" s="24" t="s">
        <v>187</v>
      </c>
      <c r="E26" s="7" t="s">
        <v>188</v>
      </c>
      <c r="F26" s="7" t="s">
        <v>189</v>
      </c>
      <c r="G26" s="7" t="s">
        <v>190</v>
      </c>
      <c r="H26" s="7" t="s">
        <v>191</v>
      </c>
      <c r="I26" s="21" t="s">
        <v>192</v>
      </c>
      <c r="J26" s="24" t="s">
        <v>187</v>
      </c>
      <c r="K26" s="7" t="s">
        <v>193</v>
      </c>
      <c r="L26" s="7" t="s">
        <v>194</v>
      </c>
      <c r="M26" s="7" t="s">
        <v>195</v>
      </c>
      <c r="N26" s="7" t="s">
        <v>196</v>
      </c>
      <c r="O26" s="21" t="s">
        <v>197</v>
      </c>
      <c r="P26" s="24" t="s">
        <v>187</v>
      </c>
      <c r="Q26" s="7">
        <v>5.4802999999999998E-2</v>
      </c>
      <c r="R26" s="7">
        <v>3.0665000000000001E-2</v>
      </c>
      <c r="S26" s="7">
        <v>0.94912700000000005</v>
      </c>
      <c r="T26" s="7">
        <v>0.95006100000000004</v>
      </c>
      <c r="U26" s="7">
        <v>0.98073200000000005</v>
      </c>
      <c r="V26" s="7">
        <v>115.23826200000001</v>
      </c>
      <c r="W26" s="7">
        <v>105.72044200000001</v>
      </c>
      <c r="X26" s="7">
        <v>14.777215999999999</v>
      </c>
      <c r="Y26" s="7">
        <v>29.820588999999998</v>
      </c>
      <c r="Z26" s="7">
        <v>30.150587000000002</v>
      </c>
      <c r="AA26" s="7">
        <v>37.127478000000004</v>
      </c>
      <c r="AB26" s="7">
        <f t="shared" ref="AB26:AB28" si="24">U26/T26</f>
        <v>1.0322831902372585</v>
      </c>
      <c r="AC26" s="7">
        <f t="shared" ref="AC26:AC28" si="25">AA26/Z26</f>
        <v>1.2314014980869195</v>
      </c>
      <c r="AD26" s="7">
        <f t="shared" ref="AD26:AD28" si="26">X26/W26</f>
        <v>0.13977633578187271</v>
      </c>
      <c r="AE26" s="7">
        <f t="shared" ref="AE26:AE28" si="27">(U26-S26)/(1-S26)</f>
        <v>0.62125292394787068</v>
      </c>
      <c r="AF26" s="7">
        <f t="shared" ref="AF26:AF28" si="28">(AA26-Y26)/(100-Y26)</f>
        <v>0.10411727450947124</v>
      </c>
      <c r="AG26" s="7">
        <f t="shared" ref="AG26:AG28" si="29">(V26-X26)/V26</f>
        <v>0.87176814589584839</v>
      </c>
      <c r="AH26" s="24" t="s">
        <v>187</v>
      </c>
      <c r="AI26" s="7" t="s">
        <v>198</v>
      </c>
      <c r="AJ26" s="7" t="s">
        <v>199</v>
      </c>
      <c r="AK26" s="7" t="s">
        <v>200</v>
      </c>
      <c r="AL26" s="7" t="s">
        <v>201</v>
      </c>
      <c r="AM26" s="7" t="s">
        <v>202</v>
      </c>
      <c r="AN26" s="24" t="s">
        <v>187</v>
      </c>
      <c r="AO26" s="7">
        <v>8.4351999999999996E-2</v>
      </c>
      <c r="AP26" s="7">
        <v>4.6800000000000001E-2</v>
      </c>
      <c r="AQ26" s="7">
        <v>0.95341299999999995</v>
      </c>
      <c r="AR26" s="7">
        <v>0.95553600000000005</v>
      </c>
      <c r="AS26" s="7">
        <v>0.98198600000000003</v>
      </c>
      <c r="AT26" s="7">
        <v>218.211623</v>
      </c>
      <c r="AU26" s="7">
        <v>208.89815899999999</v>
      </c>
      <c r="AV26" s="7">
        <v>12.732612</v>
      </c>
      <c r="AW26" s="7">
        <v>35.649062000000001</v>
      </c>
      <c r="AX26" s="7">
        <v>34.114471000000002</v>
      </c>
      <c r="AY26" s="7">
        <v>39.239910999999999</v>
      </c>
      <c r="AZ26" s="7">
        <f t="shared" ref="AZ26:AZ28" si="30">AS26/AR26</f>
        <v>1.0276807990489107</v>
      </c>
      <c r="BA26" s="7">
        <f t="shared" ref="BA26:BA28" si="31">AY26/AX26</f>
        <v>1.1502424000653564</v>
      </c>
      <c r="BB26" s="7">
        <f t="shared" ref="BB26:BB28" si="32">AV26/AU26</f>
        <v>6.0951288709059422E-2</v>
      </c>
      <c r="BC26" s="7">
        <f t="shared" ref="BC26:BC28" si="33">(AS26-AQ26)/(1-AQ26)</f>
        <v>0.61332560585571172</v>
      </c>
      <c r="BD26" s="7">
        <f t="shared" ref="BD26:BD28" si="34">(AY26-AW26)/(100-AW26)</f>
        <v>5.5801035876120383E-2</v>
      </c>
      <c r="BE26" s="7">
        <f t="shared" ref="BE26:BE28" si="35">(AT26-AV26)/AT26</f>
        <v>0.94165016590339923</v>
      </c>
      <c r="BF26" s="7" t="s">
        <v>15</v>
      </c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</row>
    <row r="27" spans="3:159" ht="26" x14ac:dyDescent="0.3">
      <c r="C27" s="4"/>
      <c r="D27" s="24" t="s">
        <v>203</v>
      </c>
      <c r="E27" s="7" t="s">
        <v>204</v>
      </c>
      <c r="F27" s="7" t="s">
        <v>205</v>
      </c>
      <c r="G27" s="7" t="s">
        <v>206</v>
      </c>
      <c r="H27" s="7" t="s">
        <v>207</v>
      </c>
      <c r="I27" s="21" t="s">
        <v>208</v>
      </c>
      <c r="J27" s="24" t="s">
        <v>203</v>
      </c>
      <c r="K27" s="7" t="s">
        <v>209</v>
      </c>
      <c r="L27" s="7" t="s">
        <v>210</v>
      </c>
      <c r="M27" s="7" t="s">
        <v>211</v>
      </c>
      <c r="N27" s="7" t="s">
        <v>212</v>
      </c>
      <c r="O27" s="21" t="s">
        <v>213</v>
      </c>
      <c r="P27" s="24" t="s">
        <v>203</v>
      </c>
      <c r="Q27" s="7">
        <v>0.18416099999999999</v>
      </c>
      <c r="R27" s="7">
        <v>0.100631</v>
      </c>
      <c r="S27" s="7">
        <v>0.381324</v>
      </c>
      <c r="T27" s="7">
        <v>7.7577999999999994E-2</v>
      </c>
      <c r="U27" s="7">
        <v>0.21254899999999999</v>
      </c>
      <c r="V27" s="7">
        <v>5840.7750859999996</v>
      </c>
      <c r="W27" s="7">
        <v>14104.611046</v>
      </c>
      <c r="X27" s="7">
        <v>10534.435892</v>
      </c>
      <c r="Y27" s="7">
        <v>11.037430000000001</v>
      </c>
      <c r="Z27" s="7">
        <v>7.3300900000000002</v>
      </c>
      <c r="AA27" s="7">
        <v>8.630115</v>
      </c>
      <c r="AB27" s="7">
        <f t="shared" si="24"/>
        <v>2.7398102554848025</v>
      </c>
      <c r="AC27" s="7">
        <f t="shared" si="25"/>
        <v>1.1773545754554173</v>
      </c>
      <c r="AD27" s="7">
        <f t="shared" si="26"/>
        <v>0.74687886519121804</v>
      </c>
      <c r="AE27" s="7">
        <f t="shared" si="27"/>
        <v>-0.27280030258164212</v>
      </c>
      <c r="AF27" s="7">
        <f t="shared" si="28"/>
        <v>-2.7059863490904102E-2</v>
      </c>
      <c r="AG27" s="7">
        <f t="shared" si="29"/>
        <v>-0.80360238784924853</v>
      </c>
      <c r="AH27" s="24" t="s">
        <v>203</v>
      </c>
      <c r="AI27" s="7" t="s">
        <v>214</v>
      </c>
      <c r="AJ27" s="7" t="s">
        <v>215</v>
      </c>
      <c r="AK27" s="7" t="s">
        <v>216</v>
      </c>
      <c r="AL27" s="7" t="s">
        <v>217</v>
      </c>
      <c r="AM27" s="7" t="s">
        <v>218</v>
      </c>
      <c r="AN27" s="24" t="s">
        <v>203</v>
      </c>
      <c r="AO27" s="7">
        <v>7.2144E-2</v>
      </c>
      <c r="AP27" s="7">
        <v>4.7745999999999997E-2</v>
      </c>
      <c r="AQ27" s="7">
        <v>0.415495</v>
      </c>
      <c r="AR27" s="7">
        <v>3.2872999999999999E-2</v>
      </c>
      <c r="AS27" s="7">
        <v>0.166572</v>
      </c>
      <c r="AT27" s="7">
        <v>9565.9134279999998</v>
      </c>
      <c r="AU27" s="7">
        <v>28238.3616</v>
      </c>
      <c r="AV27" s="7">
        <v>22838.462028999998</v>
      </c>
      <c r="AW27" s="7">
        <v>9.4893789999999996</v>
      </c>
      <c r="AX27" s="7">
        <v>5.1387450000000001</v>
      </c>
      <c r="AY27" s="7">
        <v>6.022513</v>
      </c>
      <c r="AZ27" s="7">
        <f t="shared" si="30"/>
        <v>5.0671371642381287</v>
      </c>
      <c r="BA27" s="7">
        <f t="shared" si="31"/>
        <v>1.1719812911518279</v>
      </c>
      <c r="BB27" s="7">
        <f t="shared" si="32"/>
        <v>0.80877433161702972</v>
      </c>
      <c r="BC27" s="7">
        <f t="shared" si="33"/>
        <v>-0.42586975303889613</v>
      </c>
      <c r="BD27" s="7">
        <f t="shared" si="34"/>
        <v>-3.8303416347126813E-2</v>
      </c>
      <c r="BE27" s="7">
        <f t="shared" si="35"/>
        <v>-1.3874836627885903</v>
      </c>
      <c r="BF27" s="7" t="s">
        <v>15</v>
      </c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</row>
    <row r="28" spans="3:159" ht="26" x14ac:dyDescent="0.3">
      <c r="C28" s="4"/>
      <c r="D28" s="25" t="s">
        <v>219</v>
      </c>
      <c r="E28" s="7" t="s">
        <v>220</v>
      </c>
      <c r="F28" s="7" t="s">
        <v>221</v>
      </c>
      <c r="G28" s="7" t="s">
        <v>222</v>
      </c>
      <c r="H28" s="1" t="s">
        <v>223</v>
      </c>
      <c r="I28" s="26" t="s">
        <v>224</v>
      </c>
      <c r="J28" s="25" t="s">
        <v>219</v>
      </c>
      <c r="K28" s="7" t="s">
        <v>225</v>
      </c>
      <c r="L28" s="7" t="s">
        <v>226</v>
      </c>
      <c r="M28" s="7" t="s">
        <v>227</v>
      </c>
      <c r="N28" s="7" t="s">
        <v>228</v>
      </c>
      <c r="O28" s="21" t="s">
        <v>229</v>
      </c>
      <c r="P28" s="25" t="s">
        <v>219</v>
      </c>
      <c r="Q28" s="7">
        <v>5.4427000000000003E-2</v>
      </c>
      <c r="R28" s="7">
        <v>2.8811E-2</v>
      </c>
      <c r="S28" s="7">
        <v>0.94912700000000005</v>
      </c>
      <c r="T28" s="7">
        <v>0.95147099999999996</v>
      </c>
      <c r="U28" s="7">
        <v>0.98092699999999999</v>
      </c>
      <c r="V28" s="7">
        <v>115.23826200000001</v>
      </c>
      <c r="W28" s="7">
        <v>101.533456</v>
      </c>
      <c r="X28" s="7">
        <v>14.633855000000001</v>
      </c>
      <c r="Y28" s="7">
        <v>29.820588999999998</v>
      </c>
      <c r="Z28" s="7">
        <v>30.369387</v>
      </c>
      <c r="AA28" s="7">
        <v>37.160454999999999</v>
      </c>
      <c r="AB28" s="7">
        <f t="shared" si="24"/>
        <v>1.0309583791833907</v>
      </c>
      <c r="AC28" s="7">
        <f t="shared" si="25"/>
        <v>1.223615577094131</v>
      </c>
      <c r="AD28" s="7">
        <f t="shared" si="26"/>
        <v>0.14412840433600527</v>
      </c>
      <c r="AE28" s="7">
        <f t="shared" si="27"/>
        <v>0.62508599846676971</v>
      </c>
      <c r="AF28" s="7">
        <f t="shared" si="28"/>
        <v>0.10458717016020554</v>
      </c>
      <c r="AG28" s="7">
        <f t="shared" si="29"/>
        <v>0.87301218583112616</v>
      </c>
      <c r="AH28" s="25" t="s">
        <v>219</v>
      </c>
      <c r="AI28" s="7" t="s">
        <v>230</v>
      </c>
      <c r="AJ28" s="7" t="s">
        <v>122</v>
      </c>
      <c r="AK28" s="7" t="s">
        <v>231</v>
      </c>
      <c r="AL28" s="7" t="s">
        <v>232</v>
      </c>
      <c r="AM28" s="7" t="s">
        <v>233</v>
      </c>
      <c r="AN28" s="25" t="s">
        <v>219</v>
      </c>
      <c r="AO28" s="7">
        <v>8.3075999999999997E-2</v>
      </c>
      <c r="AP28" s="7">
        <v>4.6942999999999999E-2</v>
      </c>
      <c r="AQ28" s="7">
        <v>0.95341299999999995</v>
      </c>
      <c r="AR28" s="7">
        <v>0.95600200000000002</v>
      </c>
      <c r="AS28" s="7">
        <v>0.98222299999999996</v>
      </c>
      <c r="AT28" s="7">
        <v>218.211623</v>
      </c>
      <c r="AU28" s="7">
        <v>208.91802200000001</v>
      </c>
      <c r="AV28" s="7">
        <v>12.788138999999999</v>
      </c>
      <c r="AW28" s="7">
        <v>35.649062000000001</v>
      </c>
      <c r="AX28" s="7">
        <v>34.257429000000002</v>
      </c>
      <c r="AY28" s="7">
        <v>39.305512999999998</v>
      </c>
      <c r="AZ28" s="7">
        <f t="shared" si="30"/>
        <v>1.0274277668875169</v>
      </c>
      <c r="BA28" s="7">
        <f t="shared" si="31"/>
        <v>1.1473573513061939</v>
      </c>
      <c r="BB28" s="7">
        <f t="shared" si="32"/>
        <v>6.1211277407173609E-2</v>
      </c>
      <c r="BC28" s="7">
        <f t="shared" si="33"/>
        <v>0.6184128619571978</v>
      </c>
      <c r="BD28" s="7">
        <f t="shared" si="34"/>
        <v>5.6820477115655986E-2</v>
      </c>
      <c r="BE28" s="7">
        <f t="shared" si="35"/>
        <v>0.94139570191455846</v>
      </c>
      <c r="BF28" s="7" t="s">
        <v>15</v>
      </c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</row>
    <row r="29" spans="3:159" ht="26" x14ac:dyDescent="0.3">
      <c r="C29" s="4"/>
      <c r="D29" s="12" t="s">
        <v>15</v>
      </c>
      <c r="E29" s="7" t="s">
        <v>15</v>
      </c>
      <c r="F29" s="7" t="s">
        <v>15</v>
      </c>
      <c r="G29" s="7" t="s">
        <v>15</v>
      </c>
      <c r="H29" s="7" t="s">
        <v>15</v>
      </c>
      <c r="I29" s="21" t="s">
        <v>15</v>
      </c>
      <c r="J29" s="12" t="s">
        <v>15</v>
      </c>
      <c r="K29" s="7" t="s">
        <v>15</v>
      </c>
      <c r="L29" s="7" t="s">
        <v>15</v>
      </c>
      <c r="M29" s="7" t="s">
        <v>15</v>
      </c>
      <c r="N29" s="7" t="s">
        <v>15</v>
      </c>
      <c r="O29" s="21" t="s">
        <v>15</v>
      </c>
      <c r="P29" s="12" t="s">
        <v>15</v>
      </c>
      <c r="Q29" s="7" t="s">
        <v>15</v>
      </c>
      <c r="R29" s="7" t="s">
        <v>15</v>
      </c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12" t="s">
        <v>15</v>
      </c>
      <c r="AI29" s="7" t="s">
        <v>15</v>
      </c>
      <c r="AJ29" s="7" t="s">
        <v>15</v>
      </c>
      <c r="AK29" s="7" t="s">
        <v>15</v>
      </c>
      <c r="AL29" s="7" t="s">
        <v>15</v>
      </c>
      <c r="AM29" s="7" t="s">
        <v>15</v>
      </c>
      <c r="AN29" s="12" t="s">
        <v>15</v>
      </c>
      <c r="AO29" s="7" t="s">
        <v>15</v>
      </c>
      <c r="AP29" s="7" t="s">
        <v>15</v>
      </c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 t="s">
        <v>15</v>
      </c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</row>
    <row r="30" spans="3:159" ht="19" customHeight="1" x14ac:dyDescent="0.3">
      <c r="C30" s="4"/>
      <c r="D30" s="27" t="s">
        <v>234</v>
      </c>
      <c r="E30" s="7" t="s">
        <v>235</v>
      </c>
      <c r="F30" s="7" t="s">
        <v>236</v>
      </c>
      <c r="G30" s="7"/>
      <c r="H30" s="7"/>
      <c r="I30" s="21"/>
      <c r="J30" s="27" t="s">
        <v>234</v>
      </c>
      <c r="K30" s="7" t="s">
        <v>237</v>
      </c>
      <c r="L30" s="7" t="s">
        <v>238</v>
      </c>
      <c r="M30" s="7"/>
      <c r="N30" s="7"/>
      <c r="O30" s="21"/>
      <c r="P30" s="27" t="s">
        <v>234</v>
      </c>
      <c r="Q30" s="7">
        <v>4.9306000000000003E-2</v>
      </c>
      <c r="R30" s="7">
        <v>2.6676999999999999E-2</v>
      </c>
      <c r="S30" s="26">
        <v>0.94912700000000005</v>
      </c>
      <c r="T30" s="26">
        <v>0.95061099999999998</v>
      </c>
      <c r="U30" s="26">
        <v>0.98228599999999999</v>
      </c>
      <c r="V30" s="26">
        <v>115.23826200000001</v>
      </c>
      <c r="W30" s="26">
        <v>106.72872599999999</v>
      </c>
      <c r="X30" s="26">
        <v>13.337341</v>
      </c>
      <c r="Y30" s="26">
        <v>29.820588999999998</v>
      </c>
      <c r="Z30" s="26">
        <v>30.123460999999999</v>
      </c>
      <c r="AA30" s="26">
        <v>37.632021999999999</v>
      </c>
      <c r="AB30" s="7">
        <f t="shared" ref="AB30:AB45" si="36">U30/T30</f>
        <v>1.0333206748080972</v>
      </c>
      <c r="AC30" s="7">
        <f t="shared" ref="AC30:AC45" si="37">AA30/Z30</f>
        <v>1.2492595721321664</v>
      </c>
      <c r="AD30" s="7">
        <f t="shared" ref="AD30:AD45" si="38">X30/W30</f>
        <v>0.12496486653461975</v>
      </c>
      <c r="AE30" s="7">
        <f t="shared" ref="AE30:AE45" si="39">(U30-S30)/(1-S30)</f>
        <v>0.65179957934464205</v>
      </c>
      <c r="AF30" s="7">
        <f t="shared" ref="AF30:AF45" si="40">(AA30-Y30)/(100-Y30)</f>
        <v>0.11130661954401413</v>
      </c>
      <c r="AG30" s="7">
        <f t="shared" ref="AG30:AG45" si="41">(V30-X30)/V30</f>
        <v>0.88426291087243236</v>
      </c>
      <c r="AH30" s="27" t="s">
        <v>234</v>
      </c>
      <c r="AI30" s="7" t="s">
        <v>239</v>
      </c>
      <c r="AJ30" s="7" t="s">
        <v>240</v>
      </c>
      <c r="AK30" s="7"/>
      <c r="AL30" s="7"/>
      <c r="AM30" s="7"/>
      <c r="AN30" s="27" t="s">
        <v>234</v>
      </c>
      <c r="AO30" s="7">
        <v>7.0786000000000002E-2</v>
      </c>
      <c r="AP30" s="7">
        <v>5.185E-2</v>
      </c>
      <c r="AQ30" s="26">
        <v>0.95341299999999995</v>
      </c>
      <c r="AR30" s="26">
        <v>0.95584499999999994</v>
      </c>
      <c r="AS30" s="26">
        <v>0.98340000000000005</v>
      </c>
      <c r="AT30" s="26">
        <v>218.211623</v>
      </c>
      <c r="AU30" s="26">
        <v>208.729254</v>
      </c>
      <c r="AV30" s="26">
        <v>11.368988999999999</v>
      </c>
      <c r="AW30" s="26">
        <v>35.649062000000001</v>
      </c>
      <c r="AX30" s="26">
        <v>34.375411</v>
      </c>
      <c r="AY30" s="26">
        <v>40.015048999999998</v>
      </c>
      <c r="AZ30" s="7">
        <f t="shared" ref="AZ30:AZ45" si="42">AS30/AR30</f>
        <v>1.0288278957362336</v>
      </c>
      <c r="BA30" s="7">
        <f t="shared" ref="BA30:BA45" si="43">AY30/AX30</f>
        <v>1.1640602347998108</v>
      </c>
      <c r="BB30" s="7">
        <f t="shared" ref="BB30:BB45" si="44">AV30/AU30</f>
        <v>5.4467635859034878E-2</v>
      </c>
      <c r="BC30" s="7">
        <f t="shared" ref="BC30:BC45" si="45">(AS30-AQ30)/(1-AQ30)</f>
        <v>0.64367742073969281</v>
      </c>
      <c r="BD30" s="7">
        <f t="shared" ref="BD30:BD45" si="46">(AY30-AW30)/(100-AW30)</f>
        <v>6.7846516860406866E-2</v>
      </c>
      <c r="BE30" s="7">
        <f t="shared" ref="BE30:BE45" si="47">(AT30-AV30)/AT30</f>
        <v>0.94789925099452654</v>
      </c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</row>
    <row r="31" spans="3:159" ht="19" customHeight="1" x14ac:dyDescent="0.3">
      <c r="C31" s="4"/>
      <c r="D31" s="28" t="s">
        <v>241</v>
      </c>
      <c r="E31" s="7" t="s">
        <v>242</v>
      </c>
      <c r="F31" s="7" t="s">
        <v>243</v>
      </c>
      <c r="G31" s="7"/>
      <c r="H31" s="7"/>
      <c r="I31" s="21"/>
      <c r="J31" s="28" t="s">
        <v>241</v>
      </c>
      <c r="K31" s="7" t="s">
        <v>244</v>
      </c>
      <c r="L31" s="7" t="s">
        <v>245</v>
      </c>
      <c r="M31" s="7"/>
      <c r="N31" s="7"/>
      <c r="O31" s="21"/>
      <c r="P31" s="28" t="s">
        <v>241</v>
      </c>
      <c r="Q31" s="7">
        <v>5.0846000000000002E-2</v>
      </c>
      <c r="R31" s="7">
        <v>2.7493E-2</v>
      </c>
      <c r="S31" s="26">
        <v>0.94912700000000005</v>
      </c>
      <c r="T31" s="26">
        <v>0.94921999999999995</v>
      </c>
      <c r="U31" s="26">
        <v>0.98236900000000005</v>
      </c>
      <c r="V31" s="26">
        <v>115.23826200000001</v>
      </c>
      <c r="W31" s="26">
        <v>110.987848</v>
      </c>
      <c r="X31" s="26">
        <v>13.388987</v>
      </c>
      <c r="Y31" s="26">
        <v>29.820588999999998</v>
      </c>
      <c r="Z31" s="26">
        <v>29.863962000000001</v>
      </c>
      <c r="AA31" s="26">
        <v>37.612966</v>
      </c>
      <c r="AB31" s="7">
        <f t="shared" si="36"/>
        <v>1.0349223573038917</v>
      </c>
      <c r="AC31" s="7">
        <f t="shared" si="37"/>
        <v>1.2594767566339657</v>
      </c>
      <c r="AD31" s="7">
        <f t="shared" si="38"/>
        <v>0.12063471128839258</v>
      </c>
      <c r="AE31" s="7">
        <f t="shared" si="39"/>
        <v>0.6534310931142262</v>
      </c>
      <c r="AF31" s="7">
        <f t="shared" si="40"/>
        <v>0.11103508691459382</v>
      </c>
      <c r="AG31" s="7">
        <f t="shared" si="41"/>
        <v>0.88381474375238323</v>
      </c>
      <c r="AH31" s="28" t="s">
        <v>241</v>
      </c>
      <c r="AI31" s="7" t="s">
        <v>246</v>
      </c>
      <c r="AJ31" s="7" t="s">
        <v>247</v>
      </c>
      <c r="AK31" s="7"/>
      <c r="AL31" s="7"/>
      <c r="AM31" s="7"/>
      <c r="AN31" s="28" t="s">
        <v>241</v>
      </c>
      <c r="AO31" s="7">
        <v>6.8642999999999996E-2</v>
      </c>
      <c r="AP31" s="7">
        <v>4.6869000000000001E-2</v>
      </c>
      <c r="AQ31" s="26">
        <v>0.95341299999999995</v>
      </c>
      <c r="AR31" s="26">
        <v>0.95498799999999995</v>
      </c>
      <c r="AS31" s="26">
        <v>0.98329999999999995</v>
      </c>
      <c r="AT31" s="26">
        <v>218.211623</v>
      </c>
      <c r="AU31" s="26">
        <v>214.11514600000001</v>
      </c>
      <c r="AV31" s="26">
        <v>11.53016</v>
      </c>
      <c r="AW31" s="26">
        <v>35.649062000000001</v>
      </c>
      <c r="AX31" s="26">
        <v>34.032378999999999</v>
      </c>
      <c r="AY31" s="26">
        <v>39.794631000000003</v>
      </c>
      <c r="AZ31" s="7">
        <f t="shared" si="42"/>
        <v>1.0296464458192145</v>
      </c>
      <c r="BA31" s="7">
        <f t="shared" si="43"/>
        <v>1.1693167556696522</v>
      </c>
      <c r="BB31" s="7">
        <f t="shared" si="44"/>
        <v>5.3850277364311257E-2</v>
      </c>
      <c r="BC31" s="7">
        <f t="shared" si="45"/>
        <v>0.64153089917788153</v>
      </c>
      <c r="BD31" s="7">
        <f t="shared" si="46"/>
        <v>6.4421267643371444E-2</v>
      </c>
      <c r="BE31" s="7">
        <f t="shared" si="47"/>
        <v>0.94716065147455508</v>
      </c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</row>
    <row r="32" spans="3:159" ht="19" customHeight="1" x14ac:dyDescent="0.3">
      <c r="C32" s="4"/>
      <c r="D32" s="28" t="s">
        <v>248</v>
      </c>
      <c r="E32" s="7" t="s">
        <v>249</v>
      </c>
      <c r="F32" s="7" t="s">
        <v>250</v>
      </c>
      <c r="G32" s="7"/>
      <c r="H32" s="7"/>
      <c r="I32" s="1"/>
      <c r="J32" s="28" t="s">
        <v>248</v>
      </c>
      <c r="K32" s="7" t="s">
        <v>251</v>
      </c>
      <c r="L32" s="7" t="s">
        <v>252</v>
      </c>
      <c r="M32" s="7"/>
      <c r="N32" s="7"/>
      <c r="O32" s="21"/>
      <c r="P32" s="28" t="s">
        <v>248</v>
      </c>
      <c r="Q32" s="7">
        <v>4.9838E-2</v>
      </c>
      <c r="R32" s="7">
        <v>2.7147999999999999E-2</v>
      </c>
      <c r="S32" s="26">
        <v>0.94912700000000005</v>
      </c>
      <c r="T32" s="26">
        <v>0.95035099999999995</v>
      </c>
      <c r="U32" s="26">
        <v>0.98243199999999997</v>
      </c>
      <c r="V32" s="26">
        <v>115.23826200000001</v>
      </c>
      <c r="W32" s="26">
        <v>107.305065</v>
      </c>
      <c r="X32" s="26">
        <v>13.380162</v>
      </c>
      <c r="Y32" s="26">
        <v>29.820588999999998</v>
      </c>
      <c r="Z32" s="26">
        <v>30.086220999999998</v>
      </c>
      <c r="AA32" s="26">
        <v>37.612864999999999</v>
      </c>
      <c r="AB32" s="7">
        <f t="shared" si="36"/>
        <v>1.0337570013605499</v>
      </c>
      <c r="AC32" s="7">
        <f t="shared" si="37"/>
        <v>1.2501691388891945</v>
      </c>
      <c r="AD32" s="7">
        <f t="shared" si="38"/>
        <v>0.12469273468125666</v>
      </c>
      <c r="AE32" s="7">
        <f t="shared" si="39"/>
        <v>0.65466947103571549</v>
      </c>
      <c r="AF32" s="7">
        <f t="shared" si="40"/>
        <v>0.11103364774606046</v>
      </c>
      <c r="AG32" s="7">
        <f t="shared" si="41"/>
        <v>0.88389132422007544</v>
      </c>
      <c r="AH32" s="28" t="s">
        <v>248</v>
      </c>
      <c r="AI32" s="7" t="s">
        <v>253</v>
      </c>
      <c r="AJ32" s="7" t="s">
        <v>169</v>
      </c>
      <c r="AK32" s="7"/>
      <c r="AL32" s="7"/>
      <c r="AM32" s="7"/>
      <c r="AN32" s="28" t="s">
        <v>248</v>
      </c>
      <c r="AO32" s="7">
        <v>6.9503999999999996E-2</v>
      </c>
      <c r="AP32" s="7">
        <v>4.6621999999999997E-2</v>
      </c>
      <c r="AQ32" s="26">
        <v>0.95341299999999995</v>
      </c>
      <c r="AR32" s="26">
        <v>0.95532600000000001</v>
      </c>
      <c r="AS32" s="26">
        <v>0.98329100000000003</v>
      </c>
      <c r="AT32" s="26">
        <v>218.211623</v>
      </c>
      <c r="AU32" s="26">
        <v>213.52883</v>
      </c>
      <c r="AV32" s="26">
        <v>11.429368</v>
      </c>
      <c r="AW32" s="26">
        <v>35.649062000000001</v>
      </c>
      <c r="AX32" s="26">
        <v>34.169853000000003</v>
      </c>
      <c r="AY32" s="26">
        <v>39.910345999999997</v>
      </c>
      <c r="AZ32" s="7">
        <f t="shared" si="42"/>
        <v>1.0292727299372151</v>
      </c>
      <c r="BA32" s="7">
        <f t="shared" si="43"/>
        <v>1.1679987619496048</v>
      </c>
      <c r="BB32" s="7">
        <f t="shared" si="44"/>
        <v>5.3526111673070094E-2</v>
      </c>
      <c r="BC32" s="7">
        <f t="shared" si="45"/>
        <v>0.64133771223732028</v>
      </c>
      <c r="BD32" s="7">
        <f t="shared" si="46"/>
        <v>6.6219454330253835E-2</v>
      </c>
      <c r="BE32" s="7">
        <f t="shared" si="47"/>
        <v>0.94762255170981424</v>
      </c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7"/>
      <c r="EX32" s="7"/>
      <c r="EY32" s="7"/>
      <c r="EZ32" s="7"/>
      <c r="FA32" s="7"/>
      <c r="FB32" s="7"/>
      <c r="FC32" s="7"/>
    </row>
    <row r="33" spans="3:159" ht="19" customHeight="1" x14ac:dyDescent="0.3">
      <c r="C33" s="4"/>
      <c r="D33" s="28" t="s">
        <v>254</v>
      </c>
      <c r="E33" s="7" t="s">
        <v>255</v>
      </c>
      <c r="F33" s="7" t="s">
        <v>256</v>
      </c>
      <c r="G33" s="7"/>
      <c r="H33" s="7"/>
      <c r="I33" s="21"/>
      <c r="J33" s="28" t="s">
        <v>254</v>
      </c>
      <c r="K33" s="7" t="s">
        <v>257</v>
      </c>
      <c r="L33" s="7" t="s">
        <v>258</v>
      </c>
      <c r="M33" s="7"/>
      <c r="N33" s="7"/>
      <c r="O33" s="21"/>
      <c r="P33" s="28" t="s">
        <v>254</v>
      </c>
      <c r="Q33" s="7">
        <v>0.12670500000000001</v>
      </c>
      <c r="R33" s="7">
        <v>0.12662799999999999</v>
      </c>
      <c r="S33" s="26">
        <v>0.94912700000000005</v>
      </c>
      <c r="T33" s="26">
        <v>0.91622199999999998</v>
      </c>
      <c r="U33" s="26">
        <v>0.88380300000000001</v>
      </c>
      <c r="V33" s="26">
        <v>115.23826200000001</v>
      </c>
      <c r="W33" s="26">
        <v>71.312191999999996</v>
      </c>
      <c r="X33" s="26">
        <v>139.70849000000001</v>
      </c>
      <c r="Y33" s="26">
        <v>29.820588999999998</v>
      </c>
      <c r="Z33" s="26">
        <v>29.841936</v>
      </c>
      <c r="AA33" s="26">
        <v>27.219384999999999</v>
      </c>
      <c r="AB33" s="7">
        <f t="shared" si="36"/>
        <v>0.96461665404236097</v>
      </c>
      <c r="AC33" s="7">
        <f t="shared" si="37"/>
        <v>0.91211860383320975</v>
      </c>
      <c r="AD33" s="7">
        <f t="shared" si="38"/>
        <v>1.9591108628381528</v>
      </c>
      <c r="AE33" s="7">
        <f t="shared" si="39"/>
        <v>-1.2840603070390997</v>
      </c>
      <c r="AF33" s="7">
        <f t="shared" si="40"/>
        <v>-3.7065058867478941E-2</v>
      </c>
      <c r="AG33" s="7">
        <f t="shared" si="41"/>
        <v>-0.21234464643349102</v>
      </c>
      <c r="AH33" s="28" t="s">
        <v>254</v>
      </c>
      <c r="AI33" s="7" t="s">
        <v>259</v>
      </c>
      <c r="AJ33" s="7" t="s">
        <v>260</v>
      </c>
      <c r="AK33" s="7"/>
      <c r="AL33" s="7"/>
      <c r="AM33" s="7"/>
      <c r="AN33" s="28" t="s">
        <v>254</v>
      </c>
      <c r="AO33" s="7">
        <v>9.3486E-2</v>
      </c>
      <c r="AP33" s="7">
        <v>9.2230000000000006E-2</v>
      </c>
      <c r="AQ33" s="26">
        <v>0.95341299999999995</v>
      </c>
      <c r="AR33" s="26">
        <v>0.92702099999999998</v>
      </c>
      <c r="AS33" s="26">
        <v>0.89691799999999999</v>
      </c>
      <c r="AT33" s="26">
        <v>218.211623</v>
      </c>
      <c r="AU33" s="26">
        <v>74.06926</v>
      </c>
      <c r="AV33" s="26">
        <v>233.09225900000001</v>
      </c>
      <c r="AW33" s="26">
        <v>35.649062000000001</v>
      </c>
      <c r="AX33" s="26">
        <v>30.171120999999999</v>
      </c>
      <c r="AY33" s="26">
        <v>27.324804</v>
      </c>
      <c r="AZ33" s="7">
        <f t="shared" si="42"/>
        <v>0.96752716497253033</v>
      </c>
      <c r="BA33" s="7">
        <f t="shared" si="43"/>
        <v>0.90566088015092316</v>
      </c>
      <c r="BB33" s="7">
        <f t="shared" si="44"/>
        <v>3.1469500167815907</v>
      </c>
      <c r="BC33" s="7">
        <f t="shared" si="45"/>
        <v>-1.2126773563440425</v>
      </c>
      <c r="BD33" s="7">
        <f t="shared" si="46"/>
        <v>-0.12935721309920922</v>
      </c>
      <c r="BE33" s="7">
        <f t="shared" si="47"/>
        <v>-6.8193599384942058E-2</v>
      </c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EY33" s="7"/>
      <c r="EZ33" s="7"/>
      <c r="FA33" s="7"/>
      <c r="FB33" s="7"/>
      <c r="FC33" s="7"/>
    </row>
    <row r="34" spans="3:159" ht="26" x14ac:dyDescent="0.3">
      <c r="C34" s="4"/>
      <c r="D34" s="28" t="s">
        <v>261</v>
      </c>
      <c r="E34" s="7" t="s">
        <v>220</v>
      </c>
      <c r="F34" s="7" t="s">
        <v>221</v>
      </c>
      <c r="G34" s="7" t="s">
        <v>222</v>
      </c>
      <c r="H34" s="1" t="s">
        <v>223</v>
      </c>
      <c r="I34" s="26" t="s">
        <v>224</v>
      </c>
      <c r="J34" s="28" t="s">
        <v>261</v>
      </c>
      <c r="K34" s="7" t="s">
        <v>225</v>
      </c>
      <c r="L34" s="7" t="s">
        <v>226</v>
      </c>
      <c r="M34" s="7" t="s">
        <v>227</v>
      </c>
      <c r="N34" s="7" t="s">
        <v>228</v>
      </c>
      <c r="O34" s="21" t="s">
        <v>229</v>
      </c>
      <c r="P34" s="28" t="s">
        <v>261</v>
      </c>
      <c r="Q34" s="7">
        <v>5.4427000000000003E-2</v>
      </c>
      <c r="R34" s="7">
        <v>2.8811E-2</v>
      </c>
      <c r="S34" s="7">
        <v>0.94912700000000005</v>
      </c>
      <c r="T34" s="7">
        <v>0.95147099999999996</v>
      </c>
      <c r="U34" s="7">
        <v>0.98092699999999999</v>
      </c>
      <c r="V34" s="7">
        <v>115.23826200000001</v>
      </c>
      <c r="W34" s="7">
        <v>101.533456</v>
      </c>
      <c r="X34" s="7">
        <v>14.633855000000001</v>
      </c>
      <c r="Y34" s="7">
        <v>29.820588999999998</v>
      </c>
      <c r="Z34" s="7">
        <v>30.369387</v>
      </c>
      <c r="AA34" s="7">
        <v>37.160454999999999</v>
      </c>
      <c r="AB34" s="7">
        <f t="shared" si="36"/>
        <v>1.0309583791833907</v>
      </c>
      <c r="AC34" s="7">
        <f t="shared" si="37"/>
        <v>1.223615577094131</v>
      </c>
      <c r="AD34" s="7">
        <f t="shared" si="38"/>
        <v>0.14412840433600527</v>
      </c>
      <c r="AE34" s="7">
        <f t="shared" si="39"/>
        <v>0.62508599846676971</v>
      </c>
      <c r="AF34" s="7">
        <f t="shared" si="40"/>
        <v>0.10458717016020554</v>
      </c>
      <c r="AG34" s="7">
        <f t="shared" si="41"/>
        <v>0.87301218583112616</v>
      </c>
      <c r="AH34" s="28" t="s">
        <v>261</v>
      </c>
      <c r="AI34" s="7" t="s">
        <v>230</v>
      </c>
      <c r="AJ34" s="7" t="s">
        <v>122</v>
      </c>
      <c r="AK34" s="7" t="s">
        <v>231</v>
      </c>
      <c r="AL34" s="7" t="s">
        <v>232</v>
      </c>
      <c r="AM34" s="7" t="s">
        <v>233</v>
      </c>
      <c r="AN34" s="28" t="s">
        <v>261</v>
      </c>
      <c r="AO34" s="7">
        <v>8.6736999999999995E-2</v>
      </c>
      <c r="AP34" s="7">
        <v>4.6942999999999999E-2</v>
      </c>
      <c r="AQ34" s="7">
        <v>0.95341299999999995</v>
      </c>
      <c r="AR34" s="7">
        <v>0.95600200000000002</v>
      </c>
      <c r="AS34" s="7">
        <v>0.98222299999999996</v>
      </c>
      <c r="AT34" s="7">
        <v>218.211623</v>
      </c>
      <c r="AU34" s="7">
        <v>208.91802200000001</v>
      </c>
      <c r="AV34" s="7">
        <v>12.788138999999999</v>
      </c>
      <c r="AW34" s="7">
        <v>35.649062000000001</v>
      </c>
      <c r="AX34" s="7">
        <v>34.257429000000002</v>
      </c>
      <c r="AY34" s="7">
        <v>39.305512999999998</v>
      </c>
      <c r="AZ34" s="7">
        <f t="shared" si="42"/>
        <v>1.0274277668875169</v>
      </c>
      <c r="BA34" s="7">
        <f t="shared" si="43"/>
        <v>1.1473573513061939</v>
      </c>
      <c r="BB34" s="7">
        <f t="shared" si="44"/>
        <v>6.1211277407173609E-2</v>
      </c>
      <c r="BC34" s="7">
        <f t="shared" si="45"/>
        <v>0.6184128619571978</v>
      </c>
      <c r="BD34" s="7">
        <f t="shared" si="46"/>
        <v>5.6820477115655986E-2</v>
      </c>
      <c r="BE34" s="7">
        <f t="shared" si="47"/>
        <v>0.94139570191455846</v>
      </c>
      <c r="BF34" s="7" t="s">
        <v>15</v>
      </c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A34" s="7"/>
      <c r="FB34" s="7"/>
      <c r="FC34" s="7"/>
    </row>
    <row r="35" spans="3:159" ht="26" x14ac:dyDescent="0.3">
      <c r="C35" s="4"/>
      <c r="D35" s="28" t="s">
        <v>262</v>
      </c>
      <c r="E35" s="7" t="s">
        <v>263</v>
      </c>
      <c r="F35" s="7" t="s">
        <v>264</v>
      </c>
      <c r="G35" s="7" t="s">
        <v>265</v>
      </c>
      <c r="H35" s="7" t="s">
        <v>266</v>
      </c>
      <c r="I35" s="21" t="s">
        <v>267</v>
      </c>
      <c r="J35" s="28" t="s">
        <v>262</v>
      </c>
      <c r="K35" s="7" t="s">
        <v>268</v>
      </c>
      <c r="L35" s="7" t="s">
        <v>269</v>
      </c>
      <c r="M35" s="7" t="s">
        <v>270</v>
      </c>
      <c r="N35" s="7" t="s">
        <v>271</v>
      </c>
      <c r="O35" s="21" t="s">
        <v>272</v>
      </c>
      <c r="P35" s="28" t="s">
        <v>262</v>
      </c>
      <c r="Q35" s="7">
        <v>4.8228E-2</v>
      </c>
      <c r="R35" s="7">
        <v>2.5633E-2</v>
      </c>
      <c r="S35" s="7">
        <v>0.94912700000000005</v>
      </c>
      <c r="T35" s="7">
        <v>0.949272</v>
      </c>
      <c r="U35" s="7">
        <v>0.98223700000000003</v>
      </c>
      <c r="V35" s="7">
        <v>115.23826200000001</v>
      </c>
      <c r="W35" s="7">
        <v>111.16085</v>
      </c>
      <c r="X35" s="7">
        <v>13.559528999999999</v>
      </c>
      <c r="Y35" s="7">
        <v>29.820588999999998</v>
      </c>
      <c r="Z35" s="7">
        <v>29.845230999999998</v>
      </c>
      <c r="AA35" s="7">
        <v>37.515031</v>
      </c>
      <c r="AB35" s="7">
        <f t="shared" si="36"/>
        <v>1.0347266115507463</v>
      </c>
      <c r="AC35" s="7">
        <f t="shared" si="37"/>
        <v>1.2569857810783909</v>
      </c>
      <c r="AD35" s="7">
        <f t="shared" si="38"/>
        <v>0.12198115613545596</v>
      </c>
      <c r="AE35" s="7">
        <f t="shared" si="39"/>
        <v>0.65083639651681657</v>
      </c>
      <c r="AF35" s="7">
        <f t="shared" si="40"/>
        <v>0.10963959215901659</v>
      </c>
      <c r="AG35" s="7">
        <f t="shared" si="41"/>
        <v>0.88233483597661344</v>
      </c>
      <c r="AH35" s="28" t="s">
        <v>262</v>
      </c>
      <c r="AI35" s="7" t="s">
        <v>273</v>
      </c>
      <c r="AJ35" s="7" t="s">
        <v>274</v>
      </c>
      <c r="AK35" s="7" t="s">
        <v>275</v>
      </c>
      <c r="AL35" s="7" t="s">
        <v>276</v>
      </c>
      <c r="AM35" s="7" t="s">
        <v>277</v>
      </c>
      <c r="AN35" s="28" t="s">
        <v>262</v>
      </c>
      <c r="AO35" s="7">
        <v>6.8082000000000004E-2</v>
      </c>
      <c r="AP35" s="7">
        <v>4.5935999999999998E-2</v>
      </c>
      <c r="AQ35" s="7">
        <v>0.95341299999999995</v>
      </c>
      <c r="AR35" s="7">
        <v>0.95500200000000002</v>
      </c>
      <c r="AS35" s="7">
        <v>0.98327100000000001</v>
      </c>
      <c r="AT35" s="7">
        <v>218.211623</v>
      </c>
      <c r="AU35" s="7">
        <v>214.50253699999999</v>
      </c>
      <c r="AV35" s="7">
        <v>11.590849</v>
      </c>
      <c r="AW35" s="7">
        <v>35.649062000000001</v>
      </c>
      <c r="AX35" s="7">
        <v>34.037779999999998</v>
      </c>
      <c r="AY35" s="7">
        <v>39.819001</v>
      </c>
      <c r="AZ35" s="7">
        <f t="shared" si="42"/>
        <v>1.029600985128827</v>
      </c>
      <c r="BA35" s="7">
        <f t="shared" si="43"/>
        <v>1.1698471815729463</v>
      </c>
      <c r="BB35" s="7">
        <f t="shared" si="44"/>
        <v>5.4035952964043503E-2</v>
      </c>
      <c r="BC35" s="7">
        <f t="shared" si="45"/>
        <v>0.64090840792495807</v>
      </c>
      <c r="BD35" s="7">
        <f t="shared" si="46"/>
        <v>6.4799972301880032E-2</v>
      </c>
      <c r="BE35" s="7">
        <f t="shared" si="47"/>
        <v>0.94688253155057656</v>
      </c>
      <c r="BF35" s="7" t="s">
        <v>15</v>
      </c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  <c r="EV35" s="7"/>
      <c r="EW35" s="7"/>
      <c r="EX35" s="7"/>
      <c r="EY35" s="7"/>
      <c r="EZ35" s="7"/>
      <c r="FA35" s="7"/>
      <c r="FB35" s="7"/>
      <c r="FC35" s="7"/>
    </row>
    <row r="36" spans="3:159" ht="26" x14ac:dyDescent="0.3">
      <c r="C36" s="4"/>
      <c r="D36" s="28" t="s">
        <v>278</v>
      </c>
      <c r="E36" s="7" t="s">
        <v>279</v>
      </c>
      <c r="F36" s="7" t="s">
        <v>280</v>
      </c>
      <c r="G36" s="7" t="s">
        <v>281</v>
      </c>
      <c r="H36" s="7" t="s">
        <v>282</v>
      </c>
      <c r="I36" s="21" t="s">
        <v>283</v>
      </c>
      <c r="J36" s="28" t="s">
        <v>278</v>
      </c>
      <c r="K36" s="7" t="s">
        <v>284</v>
      </c>
      <c r="L36" s="7" t="s">
        <v>285</v>
      </c>
      <c r="M36" s="7" t="s">
        <v>286</v>
      </c>
      <c r="N36" s="7" t="s">
        <v>287</v>
      </c>
      <c r="O36" s="21" t="s">
        <v>288</v>
      </c>
      <c r="P36" s="28" t="s">
        <v>278</v>
      </c>
      <c r="Q36" s="7">
        <v>4.9482999999999999E-2</v>
      </c>
      <c r="R36" s="7">
        <v>2.6346000000000001E-2</v>
      </c>
      <c r="S36" s="7">
        <v>0.94912700000000005</v>
      </c>
      <c r="T36" s="7">
        <v>0.95008599999999999</v>
      </c>
      <c r="U36" s="7">
        <v>0.98243000000000003</v>
      </c>
      <c r="V36" s="7">
        <v>115.23826200000001</v>
      </c>
      <c r="W36" s="7">
        <v>108.156864</v>
      </c>
      <c r="X36" s="7">
        <v>13.31842</v>
      </c>
      <c r="Y36" s="7">
        <v>29.820588999999998</v>
      </c>
      <c r="Z36" s="7">
        <v>30.001849</v>
      </c>
      <c r="AA36" s="7">
        <v>37.624220000000001</v>
      </c>
      <c r="AB36" s="7">
        <f t="shared" si="36"/>
        <v>1.0340432339809238</v>
      </c>
      <c r="AC36" s="7">
        <f t="shared" si="37"/>
        <v>1.2540633745606813</v>
      </c>
      <c r="AD36" s="7">
        <f t="shared" si="38"/>
        <v>0.12313984991280812</v>
      </c>
      <c r="AE36" s="7">
        <f t="shared" si="39"/>
        <v>0.65463015745090725</v>
      </c>
      <c r="AF36" s="7">
        <f t="shared" si="40"/>
        <v>0.11119544733711149</v>
      </c>
      <c r="AG36" s="7">
        <f t="shared" si="41"/>
        <v>0.88442710113069911</v>
      </c>
      <c r="AH36" s="28" t="s">
        <v>278</v>
      </c>
      <c r="AI36" s="7" t="s">
        <v>289</v>
      </c>
      <c r="AJ36" s="7" t="s">
        <v>290</v>
      </c>
      <c r="AK36" s="7" t="s">
        <v>291</v>
      </c>
      <c r="AL36" s="7" t="s">
        <v>292</v>
      </c>
      <c r="AM36" s="7" t="s">
        <v>293</v>
      </c>
      <c r="AN36" s="28" t="s">
        <v>278</v>
      </c>
      <c r="AO36" s="7">
        <v>6.8575999999999998E-2</v>
      </c>
      <c r="AP36" s="7">
        <v>4.8793000000000003E-2</v>
      </c>
      <c r="AQ36" s="7">
        <v>0.95341299999999995</v>
      </c>
      <c r="AR36" s="7">
        <v>0.95541200000000004</v>
      </c>
      <c r="AS36" s="7">
        <v>0.98339200000000004</v>
      </c>
      <c r="AT36" s="7">
        <v>218.211623</v>
      </c>
      <c r="AU36" s="7">
        <v>211.653401</v>
      </c>
      <c r="AV36" s="7">
        <v>11.415857000000001</v>
      </c>
      <c r="AW36" s="7">
        <v>35.649062000000001</v>
      </c>
      <c r="AX36" s="7">
        <v>34.192504</v>
      </c>
      <c r="AY36" s="7">
        <v>39.945211999999998</v>
      </c>
      <c r="AZ36" s="7">
        <f t="shared" si="42"/>
        <v>1.0292857950287415</v>
      </c>
      <c r="BA36" s="7">
        <f t="shared" si="43"/>
        <v>1.1682447123498179</v>
      </c>
      <c r="BB36" s="7">
        <f t="shared" si="44"/>
        <v>5.3936563013225573E-2</v>
      </c>
      <c r="BC36" s="7">
        <f t="shared" si="45"/>
        <v>0.64350569901474786</v>
      </c>
      <c r="BD36" s="7">
        <f t="shared" si="46"/>
        <v>6.6761264614355692E-2</v>
      </c>
      <c r="BE36" s="7">
        <f t="shared" si="47"/>
        <v>0.94768446866828915</v>
      </c>
      <c r="BF36" s="7" t="s">
        <v>15</v>
      </c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  <c r="EJ36" s="7"/>
      <c r="EK36" s="7"/>
      <c r="EL36" s="7"/>
      <c r="EM36" s="7"/>
      <c r="EN36" s="7"/>
      <c r="EO36" s="7"/>
      <c r="EP36" s="7"/>
      <c r="EQ36" s="7"/>
      <c r="ER36" s="7"/>
      <c r="ES36" s="7"/>
      <c r="ET36" s="7"/>
      <c r="EU36" s="7"/>
      <c r="EV36" s="7"/>
      <c r="EW36" s="7"/>
      <c r="EX36" s="7"/>
      <c r="EY36" s="7"/>
      <c r="EZ36" s="7"/>
      <c r="FA36" s="7"/>
      <c r="FB36" s="7"/>
      <c r="FC36" s="7"/>
    </row>
    <row r="37" spans="3:159" ht="26" x14ac:dyDescent="0.3">
      <c r="C37" s="4"/>
      <c r="D37" s="28" t="s">
        <v>294</v>
      </c>
      <c r="E37" s="7" t="s">
        <v>295</v>
      </c>
      <c r="F37" s="7" t="s">
        <v>296</v>
      </c>
      <c r="G37" s="7" t="s">
        <v>297</v>
      </c>
      <c r="H37" s="7" t="s">
        <v>298</v>
      </c>
      <c r="I37" s="21" t="s">
        <v>299</v>
      </c>
      <c r="J37" s="28" t="s">
        <v>294</v>
      </c>
      <c r="K37" s="7" t="s">
        <v>300</v>
      </c>
      <c r="L37" s="7" t="s">
        <v>301</v>
      </c>
      <c r="M37" s="7" t="s">
        <v>302</v>
      </c>
      <c r="N37" s="7" t="s">
        <v>303</v>
      </c>
      <c r="O37" s="21" t="s">
        <v>304</v>
      </c>
      <c r="P37" s="28" t="s">
        <v>294</v>
      </c>
      <c r="Q37" s="7">
        <v>0.15802099999999999</v>
      </c>
      <c r="R37" s="7">
        <v>0.126746</v>
      </c>
      <c r="S37" s="7">
        <v>0.94912700000000005</v>
      </c>
      <c r="T37" s="7">
        <v>0.92970799999999998</v>
      </c>
      <c r="U37" s="7">
        <v>0.93169999999999997</v>
      </c>
      <c r="V37" s="7">
        <v>115.23826200000001</v>
      </c>
      <c r="W37" s="7">
        <v>114.82516800000001</v>
      </c>
      <c r="X37" s="7">
        <v>83.072391999999994</v>
      </c>
      <c r="Y37" s="7">
        <v>29.820588999999998</v>
      </c>
      <c r="Z37" s="7">
        <v>29.202072000000001</v>
      </c>
      <c r="AA37" s="7">
        <v>29.892904999999999</v>
      </c>
      <c r="AB37" s="7">
        <f t="shared" si="36"/>
        <v>1.0021426082167735</v>
      </c>
      <c r="AC37" s="7">
        <f t="shared" si="37"/>
        <v>1.023656985709781</v>
      </c>
      <c r="AD37" s="7">
        <f t="shared" si="38"/>
        <v>0.72346849951919945</v>
      </c>
      <c r="AE37" s="7">
        <f t="shared" si="39"/>
        <v>-0.34255892123523479</v>
      </c>
      <c r="AF37" s="7">
        <f t="shared" si="40"/>
        <v>1.0304446698761935E-3</v>
      </c>
      <c r="AG37" s="7">
        <f t="shared" si="41"/>
        <v>0.27912491425807873</v>
      </c>
      <c r="AH37" s="28" t="s">
        <v>294</v>
      </c>
      <c r="AI37" s="7" t="s">
        <v>305</v>
      </c>
      <c r="AJ37" s="7" t="s">
        <v>306</v>
      </c>
      <c r="AK37" s="7" t="s">
        <v>307</v>
      </c>
      <c r="AL37" s="7" t="s">
        <v>308</v>
      </c>
      <c r="AM37" s="7" t="s">
        <v>309</v>
      </c>
      <c r="AN37" s="28" t="s">
        <v>294</v>
      </c>
      <c r="AO37" s="7">
        <v>0.116297</v>
      </c>
      <c r="AP37" s="7">
        <v>9.3909999999999993E-2</v>
      </c>
      <c r="AQ37" s="7">
        <v>0.95341299999999995</v>
      </c>
      <c r="AR37" s="7">
        <v>0.93790499999999999</v>
      </c>
      <c r="AS37" s="7">
        <v>0.932369</v>
      </c>
      <c r="AT37" s="7">
        <v>218.211623</v>
      </c>
      <c r="AU37" s="7">
        <v>241.863314</v>
      </c>
      <c r="AV37" s="7">
        <v>153.39807500000001</v>
      </c>
      <c r="AW37" s="7">
        <v>35.649062000000001</v>
      </c>
      <c r="AX37" s="7">
        <v>31.551831</v>
      </c>
      <c r="AY37" s="7">
        <v>30.802918999999999</v>
      </c>
      <c r="AZ37" s="7">
        <f t="shared" si="42"/>
        <v>0.99409748322058211</v>
      </c>
      <c r="BA37" s="7">
        <f t="shared" si="43"/>
        <v>0.97626407164769613</v>
      </c>
      <c r="BB37" s="7">
        <f t="shared" si="44"/>
        <v>0.6342345701919887</v>
      </c>
      <c r="BC37" s="7">
        <f t="shared" si="45"/>
        <v>-0.45171399746710306</v>
      </c>
      <c r="BD37" s="7">
        <f t="shared" si="46"/>
        <v>-7.530803979889153E-2</v>
      </c>
      <c r="BE37" s="7">
        <f t="shared" si="47"/>
        <v>0.29702152025146705</v>
      </c>
      <c r="BF37" s="7" t="s">
        <v>15</v>
      </c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7"/>
      <c r="EJ37" s="7"/>
      <c r="EK37" s="7"/>
      <c r="EL37" s="7"/>
      <c r="EM37" s="7"/>
      <c r="EN37" s="7"/>
      <c r="EO37" s="7"/>
      <c r="EP37" s="7"/>
      <c r="EQ37" s="7"/>
      <c r="ER37" s="7"/>
      <c r="ES37" s="7"/>
      <c r="ET37" s="7"/>
      <c r="EU37" s="7"/>
      <c r="EV37" s="7"/>
      <c r="EW37" s="7"/>
      <c r="EX37" s="7"/>
      <c r="EY37" s="7"/>
      <c r="EZ37" s="7"/>
      <c r="FA37" s="7"/>
      <c r="FB37" s="7"/>
      <c r="FC37" s="7"/>
    </row>
    <row r="38" spans="3:159" ht="19" customHeight="1" x14ac:dyDescent="0.3">
      <c r="C38" s="4"/>
      <c r="D38" s="29" t="s">
        <v>310</v>
      </c>
      <c r="E38" s="7" t="s">
        <v>311</v>
      </c>
      <c r="F38" s="7" t="s">
        <v>312</v>
      </c>
      <c r="G38" s="7"/>
      <c r="H38" s="7"/>
      <c r="I38" s="21"/>
      <c r="J38" s="29" t="s">
        <v>310</v>
      </c>
      <c r="K38" s="7" t="s">
        <v>313</v>
      </c>
      <c r="L38" s="7" t="s">
        <v>314</v>
      </c>
      <c r="M38" s="7"/>
      <c r="N38" s="7"/>
      <c r="O38" s="21"/>
      <c r="P38" s="29" t="s">
        <v>310</v>
      </c>
      <c r="Q38" s="7">
        <v>0.10934000000000001</v>
      </c>
      <c r="R38" s="7">
        <v>7.4221999999999996E-2</v>
      </c>
      <c r="S38" s="26">
        <v>0.94912700000000005</v>
      </c>
      <c r="T38" s="26">
        <v>0.95161600000000002</v>
      </c>
      <c r="U38" s="26">
        <v>0.97014299999999998</v>
      </c>
      <c r="V38" s="26">
        <v>115.23826200000001</v>
      </c>
      <c r="W38" s="26">
        <v>87.715806999999998</v>
      </c>
      <c r="X38" s="26">
        <v>28.076243000000002</v>
      </c>
      <c r="Y38" s="26">
        <v>29.820588999999998</v>
      </c>
      <c r="Z38" s="26">
        <v>30.704101999999999</v>
      </c>
      <c r="AA38" s="26">
        <v>34.288069</v>
      </c>
      <c r="AB38" s="7">
        <f t="shared" si="36"/>
        <v>1.0194689874907525</v>
      </c>
      <c r="AC38" s="7">
        <f t="shared" si="37"/>
        <v>1.1167259996726171</v>
      </c>
      <c r="AD38" s="7">
        <f t="shared" si="38"/>
        <v>0.32008190952401544</v>
      </c>
      <c r="AE38" s="7">
        <f t="shared" si="39"/>
        <v>0.41310714917539648</v>
      </c>
      <c r="AF38" s="7">
        <f t="shared" si="40"/>
        <v>6.3657986528271121E-2</v>
      </c>
      <c r="AG38" s="7">
        <f t="shared" si="41"/>
        <v>0.75636353314665572</v>
      </c>
      <c r="AH38" s="29" t="s">
        <v>310</v>
      </c>
      <c r="AI38" s="7" t="s">
        <v>315</v>
      </c>
      <c r="AJ38" s="7" t="s">
        <v>316</v>
      </c>
      <c r="AK38" s="7"/>
      <c r="AL38" s="7"/>
      <c r="AM38" s="7"/>
      <c r="AN38" s="29" t="s">
        <v>310</v>
      </c>
      <c r="AO38" s="7">
        <v>9.2672000000000004E-2</v>
      </c>
      <c r="AP38" s="7">
        <v>6.9294999999999995E-2</v>
      </c>
      <c r="AQ38" s="26">
        <v>0.95341299999999995</v>
      </c>
      <c r="AR38" s="26">
        <v>0.95576399999999995</v>
      </c>
      <c r="AS38" s="26">
        <v>0.97477100000000005</v>
      </c>
      <c r="AT38" s="26">
        <v>218.211623</v>
      </c>
      <c r="AU38" s="26">
        <v>192.740454</v>
      </c>
      <c r="AV38" s="26">
        <v>23.968951000000001</v>
      </c>
      <c r="AW38" s="26">
        <v>35.649062000000001</v>
      </c>
      <c r="AX38" s="26">
        <v>34.202312999999997</v>
      </c>
      <c r="AY38" s="26">
        <v>36.909222</v>
      </c>
      <c r="AZ38" s="7">
        <f t="shared" si="42"/>
        <v>1.0198867084342997</v>
      </c>
      <c r="BA38" s="7">
        <f t="shared" si="43"/>
        <v>1.0791440333289741</v>
      </c>
      <c r="BB38" s="7">
        <f t="shared" si="44"/>
        <v>0.12435869327152255</v>
      </c>
      <c r="BC38" s="7">
        <f t="shared" si="45"/>
        <v>0.4584540751711868</v>
      </c>
      <c r="BD38" s="7">
        <f t="shared" si="46"/>
        <v>1.9582620536160625E-2</v>
      </c>
      <c r="BE38" s="7">
        <f t="shared" si="47"/>
        <v>0.89015731302268897</v>
      </c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  <c r="FA38" s="7"/>
      <c r="FB38" s="7"/>
      <c r="FC38" s="7"/>
    </row>
    <row r="39" spans="3:159" ht="19" customHeight="1" x14ac:dyDescent="0.3">
      <c r="C39" s="4"/>
      <c r="D39" s="29" t="s">
        <v>317</v>
      </c>
      <c r="E39" s="7" t="s">
        <v>318</v>
      </c>
      <c r="F39" s="7" t="s">
        <v>319</v>
      </c>
      <c r="G39" s="7"/>
      <c r="H39" s="7"/>
      <c r="I39" s="21"/>
      <c r="J39" s="29" t="s">
        <v>317</v>
      </c>
      <c r="K39" s="7" t="s">
        <v>320</v>
      </c>
      <c r="L39" s="7" t="s">
        <v>321</v>
      </c>
      <c r="M39" s="7"/>
      <c r="N39" s="7"/>
      <c r="O39" s="21"/>
      <c r="P39" s="29" t="s">
        <v>317</v>
      </c>
      <c r="Q39" s="7">
        <v>4.8940999999999998E-2</v>
      </c>
      <c r="R39" s="7">
        <v>2.6062999999999999E-2</v>
      </c>
      <c r="S39" s="26">
        <v>0.94912700000000005</v>
      </c>
      <c r="T39" s="26">
        <v>0.95004200000000005</v>
      </c>
      <c r="U39" s="26">
        <v>0.98258999999999996</v>
      </c>
      <c r="V39" s="26">
        <v>115.23826200000001</v>
      </c>
      <c r="W39" s="26">
        <v>109.062667</v>
      </c>
      <c r="X39" s="26">
        <v>13.271198</v>
      </c>
      <c r="Y39" s="26">
        <v>29.820588999999998</v>
      </c>
      <c r="Z39" s="26">
        <v>30.001190000000001</v>
      </c>
      <c r="AA39" s="26">
        <v>37.680157999999999</v>
      </c>
      <c r="AB39" s="7">
        <f t="shared" si="36"/>
        <v>1.0342595379993726</v>
      </c>
      <c r="AC39" s="7">
        <f t="shared" si="37"/>
        <v>1.2559554471005983</v>
      </c>
      <c r="AD39" s="7">
        <f t="shared" si="38"/>
        <v>0.12168415063607421</v>
      </c>
      <c r="AE39" s="7">
        <f t="shared" si="39"/>
        <v>0.6577752442356446</v>
      </c>
      <c r="AF39" s="7">
        <f t="shared" si="40"/>
        <v>0.11199251871749109</v>
      </c>
      <c r="AG39" s="7">
        <f t="shared" si="41"/>
        <v>0.88483687822365809</v>
      </c>
      <c r="AH39" s="29" t="s">
        <v>317</v>
      </c>
      <c r="AI39" s="7" t="s">
        <v>322</v>
      </c>
      <c r="AJ39" s="7" t="s">
        <v>323</v>
      </c>
      <c r="AK39" s="7"/>
      <c r="AL39" s="7"/>
      <c r="AM39" s="7"/>
      <c r="AN39" s="29" t="s">
        <v>317</v>
      </c>
      <c r="AO39" s="7">
        <v>6.8162E-2</v>
      </c>
      <c r="AP39" s="7">
        <v>4.5293E-2</v>
      </c>
      <c r="AQ39" s="26">
        <v>0.95341299999999995</v>
      </c>
      <c r="AR39" s="26">
        <v>0.95531299999999997</v>
      </c>
      <c r="AS39" s="26">
        <v>0.983317</v>
      </c>
      <c r="AT39" s="26">
        <v>218.211623</v>
      </c>
      <c r="AU39" s="26">
        <v>214.04817600000001</v>
      </c>
      <c r="AV39" s="26">
        <v>11.724496</v>
      </c>
      <c r="AW39" s="26">
        <v>35.649062000000001</v>
      </c>
      <c r="AX39" s="26">
        <v>34.276454000000001</v>
      </c>
      <c r="AY39" s="26">
        <v>39.953003000000002</v>
      </c>
      <c r="AZ39" s="7">
        <f t="shared" si="42"/>
        <v>1.0293139525998285</v>
      </c>
      <c r="BA39" s="7">
        <f t="shared" si="43"/>
        <v>1.1656107425814817</v>
      </c>
      <c r="BB39" s="7">
        <f t="shared" si="44"/>
        <v>5.4775033448544778E-2</v>
      </c>
      <c r="BC39" s="7">
        <f t="shared" si="45"/>
        <v>0.64189580784339006</v>
      </c>
      <c r="BD39" s="7">
        <f t="shared" si="46"/>
        <v>6.6882335110639748E-2</v>
      </c>
      <c r="BE39" s="7">
        <f t="shared" si="47"/>
        <v>0.94627006646662448</v>
      </c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7"/>
      <c r="EH39" s="7"/>
      <c r="EI39" s="7"/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W39" s="7"/>
      <c r="EX39" s="7"/>
      <c r="EY39" s="7"/>
      <c r="EZ39" s="7"/>
      <c r="FA39" s="7"/>
      <c r="FB39" s="7"/>
      <c r="FC39" s="7"/>
    </row>
    <row r="40" spans="3:159" ht="19" customHeight="1" x14ac:dyDescent="0.3">
      <c r="C40" s="4"/>
      <c r="D40" s="29" t="s">
        <v>324</v>
      </c>
      <c r="E40" s="7" t="s">
        <v>325</v>
      </c>
      <c r="F40" s="7" t="s">
        <v>326</v>
      </c>
      <c r="G40" s="7"/>
      <c r="H40" s="7"/>
      <c r="I40" s="21"/>
      <c r="J40" s="29" t="s">
        <v>324</v>
      </c>
      <c r="K40" s="7" t="s">
        <v>327</v>
      </c>
      <c r="L40" s="7" t="s">
        <v>328</v>
      </c>
      <c r="M40" s="7"/>
      <c r="N40" s="7"/>
      <c r="O40" s="21"/>
      <c r="P40" s="29" t="s">
        <v>324</v>
      </c>
      <c r="Q40" s="7">
        <v>4.7489999999999997E-2</v>
      </c>
      <c r="R40" s="7">
        <v>2.3328999999999999E-2</v>
      </c>
      <c r="S40" s="26">
        <v>0.94912700000000005</v>
      </c>
      <c r="T40" s="26">
        <v>0.94872599999999996</v>
      </c>
      <c r="U40" s="26">
        <v>0.98211599999999999</v>
      </c>
      <c r="V40" s="26">
        <v>115.23826200000001</v>
      </c>
      <c r="W40" s="26">
        <v>111.36904</v>
      </c>
      <c r="X40" s="26">
        <v>13.500674</v>
      </c>
      <c r="Y40" s="26">
        <v>29.820588999999998</v>
      </c>
      <c r="Z40" s="26">
        <v>29.874323</v>
      </c>
      <c r="AA40" s="26">
        <v>37.533853000000001</v>
      </c>
      <c r="AB40" s="7">
        <f t="shared" si="36"/>
        <v>1.0351945661866546</v>
      </c>
      <c r="AC40" s="7">
        <f t="shared" si="37"/>
        <v>1.2563917515386038</v>
      </c>
      <c r="AD40" s="7">
        <f t="shared" si="38"/>
        <v>0.12122465992344013</v>
      </c>
      <c r="AE40" s="7">
        <f t="shared" si="39"/>
        <v>0.64845792463585739</v>
      </c>
      <c r="AF40" s="7">
        <f t="shared" si="40"/>
        <v>0.10990779047718144</v>
      </c>
      <c r="AG40" s="7">
        <f t="shared" si="41"/>
        <v>0.88284556044415174</v>
      </c>
      <c r="AH40" s="29" t="s">
        <v>324</v>
      </c>
      <c r="AI40" s="7" t="s">
        <v>329</v>
      </c>
      <c r="AJ40" s="7" t="s">
        <v>330</v>
      </c>
      <c r="AK40" s="7"/>
      <c r="AL40" s="7"/>
      <c r="AM40" s="7"/>
      <c r="AN40" s="29" t="s">
        <v>324</v>
      </c>
      <c r="AO40" s="7">
        <v>6.2861E-2</v>
      </c>
      <c r="AP40" s="7">
        <v>4.0580999999999999E-2</v>
      </c>
      <c r="AQ40" s="26">
        <v>0.95341299999999995</v>
      </c>
      <c r="AR40" s="26">
        <v>0.95453200000000005</v>
      </c>
      <c r="AS40" s="26">
        <v>0.98326100000000005</v>
      </c>
      <c r="AT40" s="26">
        <v>218.211623</v>
      </c>
      <c r="AU40" s="26">
        <v>216.81750400000001</v>
      </c>
      <c r="AV40" s="26">
        <v>11.43932</v>
      </c>
      <c r="AW40" s="26">
        <v>35.649062000000001</v>
      </c>
      <c r="AX40" s="26">
        <v>34.150846000000001</v>
      </c>
      <c r="AY40" s="26">
        <v>39.951529999999998</v>
      </c>
      <c r="AZ40" s="7">
        <f t="shared" si="42"/>
        <v>1.0300974718500795</v>
      </c>
      <c r="BA40" s="7">
        <f t="shared" si="43"/>
        <v>1.1698547672874633</v>
      </c>
      <c r="BB40" s="7">
        <f t="shared" si="44"/>
        <v>5.2760131396033409E-2</v>
      </c>
      <c r="BC40" s="7">
        <f t="shared" si="45"/>
        <v>0.64069375576877818</v>
      </c>
      <c r="BD40" s="7">
        <f t="shared" si="46"/>
        <v>6.6859445001407711E-2</v>
      </c>
      <c r="BE40" s="7">
        <f t="shared" si="47"/>
        <v>0.9475769446066582</v>
      </c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  <c r="EH40" s="7"/>
      <c r="EI40" s="7"/>
      <c r="EJ40" s="7"/>
      <c r="EK40" s="7"/>
      <c r="EL40" s="7"/>
      <c r="EM40" s="7"/>
      <c r="EN40" s="7"/>
      <c r="EO40" s="7"/>
      <c r="EP40" s="7"/>
      <c r="EQ40" s="7"/>
      <c r="ER40" s="7"/>
      <c r="ES40" s="7"/>
      <c r="ET40" s="7"/>
      <c r="EU40" s="7"/>
      <c r="EV40" s="7"/>
      <c r="EW40" s="7"/>
      <c r="EX40" s="7"/>
      <c r="EY40" s="7"/>
      <c r="EZ40" s="7"/>
      <c r="FA40" s="7"/>
      <c r="FB40" s="7"/>
      <c r="FC40" s="7"/>
    </row>
    <row r="41" spans="3:159" ht="19" customHeight="1" x14ac:dyDescent="0.3">
      <c r="C41" s="4"/>
      <c r="D41" s="29" t="s">
        <v>331</v>
      </c>
      <c r="E41" s="1" t="s">
        <v>332</v>
      </c>
      <c r="F41" s="1" t="s">
        <v>333</v>
      </c>
      <c r="G41" s="7"/>
      <c r="H41" s="7"/>
      <c r="I41" s="21"/>
      <c r="J41" s="29" t="s">
        <v>331</v>
      </c>
      <c r="K41" s="7" t="s">
        <v>334</v>
      </c>
      <c r="L41" s="7" t="s">
        <v>256</v>
      </c>
      <c r="M41" s="7"/>
      <c r="N41" s="7"/>
      <c r="O41" s="21"/>
      <c r="P41" s="29" t="s">
        <v>331</v>
      </c>
      <c r="Q41" s="7">
        <v>9.8919000000000007E-2</v>
      </c>
      <c r="R41" s="7">
        <v>9.5099000000000003E-2</v>
      </c>
      <c r="S41" s="26">
        <v>0.94912700000000005</v>
      </c>
      <c r="T41" s="26">
        <v>0.94664899999999996</v>
      </c>
      <c r="U41" s="26">
        <v>0.96659200000000001</v>
      </c>
      <c r="V41" s="26">
        <v>115.23826200000001</v>
      </c>
      <c r="W41" s="26">
        <v>97.844078999999994</v>
      </c>
      <c r="X41" s="26">
        <v>32.938670000000002</v>
      </c>
      <c r="Y41" s="26">
        <v>29.820588999999998</v>
      </c>
      <c r="Z41" s="26">
        <v>30.092748</v>
      </c>
      <c r="AA41" s="26">
        <v>33.718770999999997</v>
      </c>
      <c r="AB41" s="7">
        <f t="shared" si="36"/>
        <v>1.0210669424464611</v>
      </c>
      <c r="AC41" s="7">
        <f t="shared" si="37"/>
        <v>1.1204949112656644</v>
      </c>
      <c r="AD41" s="7">
        <f t="shared" si="38"/>
        <v>0.33664448923884299</v>
      </c>
      <c r="AE41" s="7">
        <f t="shared" si="39"/>
        <v>0.34330587934660767</v>
      </c>
      <c r="AF41" s="7">
        <f t="shared" si="40"/>
        <v>5.5545949224338725E-2</v>
      </c>
      <c r="AG41" s="7">
        <f t="shared" si="41"/>
        <v>0.71416897974389792</v>
      </c>
      <c r="AH41" s="29" t="s">
        <v>331</v>
      </c>
      <c r="AI41" s="7" t="s">
        <v>335</v>
      </c>
      <c r="AJ41" s="7" t="s">
        <v>336</v>
      </c>
      <c r="AK41" s="7"/>
      <c r="AL41" s="7"/>
      <c r="AM41" s="7"/>
      <c r="AN41" s="29" t="s">
        <v>331</v>
      </c>
      <c r="AO41" s="7">
        <v>9.3552999999999997E-2</v>
      </c>
      <c r="AP41" s="7">
        <v>8.9638999999999996E-2</v>
      </c>
      <c r="AQ41" s="26">
        <v>0.95341299999999995</v>
      </c>
      <c r="AR41" s="26">
        <v>0.95309100000000002</v>
      </c>
      <c r="AS41" s="26">
        <v>0.96958500000000003</v>
      </c>
      <c r="AT41" s="26">
        <v>218.211623</v>
      </c>
      <c r="AU41" s="26">
        <v>196.471294</v>
      </c>
      <c r="AV41" s="26">
        <v>34.084888999999997</v>
      </c>
      <c r="AW41" s="26">
        <v>35.649062000000001</v>
      </c>
      <c r="AX41" s="26">
        <v>33.817400999999997</v>
      </c>
      <c r="AY41" s="26">
        <v>36.075353</v>
      </c>
      <c r="AZ41" s="7">
        <f t="shared" si="42"/>
        <v>1.0173057976625528</v>
      </c>
      <c r="BA41" s="7">
        <f t="shared" si="43"/>
        <v>1.066768939458121</v>
      </c>
      <c r="BB41" s="7">
        <f t="shared" si="44"/>
        <v>0.17348533877931296</v>
      </c>
      <c r="BC41" s="7">
        <f t="shared" si="45"/>
        <v>0.34713546697576703</v>
      </c>
      <c r="BD41" s="7">
        <f t="shared" si="46"/>
        <v>6.6244722027206365E-3</v>
      </c>
      <c r="BE41" s="7">
        <f t="shared" si="47"/>
        <v>0.84379892999558503</v>
      </c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7"/>
      <c r="ED41" s="7"/>
      <c r="EE41" s="7"/>
      <c r="EF41" s="7"/>
      <c r="EG41" s="7"/>
      <c r="EH41" s="7"/>
      <c r="EI41" s="7"/>
      <c r="EJ41" s="7"/>
      <c r="EK41" s="7"/>
      <c r="EL41" s="7"/>
      <c r="EM41" s="7"/>
      <c r="EN41" s="7"/>
      <c r="EO41" s="7"/>
      <c r="EP41" s="7"/>
      <c r="EQ41" s="7"/>
      <c r="ER41" s="7"/>
      <c r="ES41" s="7"/>
      <c r="ET41" s="7"/>
      <c r="EU41" s="7"/>
      <c r="EV41" s="7"/>
      <c r="EW41" s="7"/>
      <c r="EX41" s="7"/>
      <c r="EY41" s="7"/>
      <c r="EZ41" s="7"/>
      <c r="FA41" s="7"/>
      <c r="FB41" s="7"/>
      <c r="FC41" s="7"/>
    </row>
    <row r="42" spans="3:159" ht="19" customHeight="1" x14ac:dyDescent="0.3">
      <c r="C42" s="4"/>
      <c r="D42" s="28" t="s">
        <v>337</v>
      </c>
      <c r="E42" s="7" t="s">
        <v>338</v>
      </c>
      <c r="F42" s="7" t="s">
        <v>339</v>
      </c>
      <c r="G42" s="7"/>
      <c r="H42" s="7"/>
      <c r="I42" s="21"/>
      <c r="J42" s="28" t="s">
        <v>337</v>
      </c>
      <c r="K42" s="7" t="s">
        <v>340</v>
      </c>
      <c r="L42" s="7" t="s">
        <v>341</v>
      </c>
      <c r="M42" s="7"/>
      <c r="N42" s="7"/>
      <c r="O42" s="21"/>
      <c r="P42" s="28" t="s">
        <v>337</v>
      </c>
      <c r="Q42" s="7">
        <v>0.12681999999999999</v>
      </c>
      <c r="R42" s="7">
        <v>0.12262000000000001</v>
      </c>
      <c r="S42" s="26">
        <v>0.94912700000000005</v>
      </c>
      <c r="T42" s="26">
        <v>0.93178899999999998</v>
      </c>
      <c r="U42" s="26">
        <v>0.94482999999999995</v>
      </c>
      <c r="V42" s="26">
        <v>115.23826200000001</v>
      </c>
      <c r="W42" s="26">
        <v>128.99692999999999</v>
      </c>
      <c r="X42" s="26">
        <v>71.314006000000006</v>
      </c>
      <c r="Y42" s="26">
        <v>29.820588999999998</v>
      </c>
      <c r="Z42" s="26">
        <v>28.560912999999999</v>
      </c>
      <c r="AA42" s="26">
        <v>30.467182999999999</v>
      </c>
      <c r="AB42" s="7">
        <f t="shared" si="36"/>
        <v>1.0139956578152349</v>
      </c>
      <c r="AC42" s="7">
        <f t="shared" si="37"/>
        <v>1.0667440148009273</v>
      </c>
      <c r="AD42" s="7">
        <f t="shared" si="38"/>
        <v>0.5528349085516997</v>
      </c>
      <c r="AE42" s="7">
        <f t="shared" si="39"/>
        <v>-8.446523696263461E-2</v>
      </c>
      <c r="AF42" s="7">
        <f t="shared" si="40"/>
        <v>9.2134429569379027E-3</v>
      </c>
      <c r="AG42" s="7">
        <f t="shared" si="41"/>
        <v>0.38116034759357964</v>
      </c>
      <c r="AH42" s="28" t="s">
        <v>337</v>
      </c>
      <c r="AI42" s="7" t="s">
        <v>342</v>
      </c>
      <c r="AJ42" s="7" t="s">
        <v>343</v>
      </c>
      <c r="AK42" s="7"/>
      <c r="AL42" s="7"/>
      <c r="AM42" s="7"/>
      <c r="AN42" s="28" t="s">
        <v>337</v>
      </c>
      <c r="AO42" s="7">
        <v>9.4368999999999995E-2</v>
      </c>
      <c r="AP42" s="7">
        <v>9.2273999999999995E-2</v>
      </c>
      <c r="AQ42" s="26">
        <v>0.95341299999999995</v>
      </c>
      <c r="AR42" s="26">
        <v>0.94299500000000003</v>
      </c>
      <c r="AS42" s="26">
        <v>0.94564000000000004</v>
      </c>
      <c r="AT42" s="26">
        <v>218.211623</v>
      </c>
      <c r="AU42" s="26">
        <v>261.53175599999997</v>
      </c>
      <c r="AV42" s="26">
        <v>131.422189</v>
      </c>
      <c r="AW42" s="26">
        <v>35.649062000000001</v>
      </c>
      <c r="AX42" s="26">
        <v>31.618290999999999</v>
      </c>
      <c r="AY42" s="26">
        <v>31.798147</v>
      </c>
      <c r="AZ42" s="7">
        <f t="shared" si="42"/>
        <v>1.0028048929209592</v>
      </c>
      <c r="BA42" s="7">
        <f t="shared" si="43"/>
        <v>1.005688352985302</v>
      </c>
      <c r="BB42" s="7">
        <f t="shared" si="44"/>
        <v>0.50250948875210399</v>
      </c>
      <c r="BC42" s="7">
        <f t="shared" si="45"/>
        <v>-0.16684912099941854</v>
      </c>
      <c r="BD42" s="7">
        <f t="shared" si="46"/>
        <v>-5.9842406648369297E-2</v>
      </c>
      <c r="BE42" s="7">
        <f t="shared" si="47"/>
        <v>0.39773057368259435</v>
      </c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  <c r="EI42" s="7"/>
      <c r="EJ42" s="7"/>
      <c r="EK42" s="7"/>
      <c r="EL42" s="7"/>
      <c r="EM42" s="7"/>
      <c r="EN42" s="7"/>
      <c r="EO42" s="7"/>
      <c r="EP42" s="7"/>
      <c r="EQ42" s="7"/>
      <c r="ER42" s="7"/>
      <c r="ES42" s="7"/>
      <c r="ET42" s="7"/>
      <c r="EU42" s="7"/>
      <c r="EV42" s="7"/>
      <c r="EW42" s="7"/>
      <c r="EX42" s="7"/>
      <c r="EY42" s="7"/>
      <c r="EZ42" s="7"/>
      <c r="FA42" s="7"/>
      <c r="FB42" s="7"/>
      <c r="FC42" s="7"/>
    </row>
    <row r="43" spans="3:159" ht="19" customHeight="1" x14ac:dyDescent="0.3">
      <c r="C43" s="4"/>
      <c r="D43" s="28" t="s">
        <v>344</v>
      </c>
      <c r="E43" s="7" t="s">
        <v>345</v>
      </c>
      <c r="F43" s="7" t="s">
        <v>346</v>
      </c>
      <c r="G43" s="7"/>
      <c r="H43" s="7"/>
      <c r="I43" s="21"/>
      <c r="J43" s="28" t="s">
        <v>344</v>
      </c>
      <c r="K43" s="7" t="s">
        <v>347</v>
      </c>
      <c r="L43" s="7" t="s">
        <v>348</v>
      </c>
      <c r="M43" s="7"/>
      <c r="N43" s="7"/>
      <c r="O43" s="21"/>
      <c r="P43" s="28" t="s">
        <v>344</v>
      </c>
      <c r="Q43" s="7">
        <v>6.9747000000000003E-2</v>
      </c>
      <c r="R43" s="7">
        <v>5.1924999999999999E-2</v>
      </c>
      <c r="S43" s="26">
        <v>0.94912700000000005</v>
      </c>
      <c r="T43" s="26">
        <v>0.94989100000000004</v>
      </c>
      <c r="U43" s="26">
        <v>0.97873100000000002</v>
      </c>
      <c r="V43" s="26">
        <v>115.23826200000001</v>
      </c>
      <c r="W43" s="26">
        <v>104.849605</v>
      </c>
      <c r="X43" s="26">
        <v>17.296509</v>
      </c>
      <c r="Y43" s="26">
        <v>29.820588999999998</v>
      </c>
      <c r="Z43" s="26">
        <v>30.213533999999999</v>
      </c>
      <c r="AA43" s="26">
        <v>36.481237999999998</v>
      </c>
      <c r="AB43" s="7">
        <f t="shared" si="36"/>
        <v>1.0303613783055108</v>
      </c>
      <c r="AC43" s="7">
        <f t="shared" si="37"/>
        <v>1.2074469011139179</v>
      </c>
      <c r="AD43" s="7">
        <f t="shared" si="38"/>
        <v>0.16496494192801203</v>
      </c>
      <c r="AE43" s="7">
        <f t="shared" si="39"/>
        <v>0.58191968234623459</v>
      </c>
      <c r="AF43" s="7">
        <f t="shared" si="40"/>
        <v>9.4908875766996664E-2</v>
      </c>
      <c r="AG43" s="7">
        <f t="shared" si="41"/>
        <v>0.84990654406086064</v>
      </c>
      <c r="AH43" s="28" t="s">
        <v>344</v>
      </c>
      <c r="AI43" s="7" t="s">
        <v>349</v>
      </c>
      <c r="AJ43" s="7" t="s">
        <v>350</v>
      </c>
      <c r="AK43" s="7"/>
      <c r="AL43" s="7"/>
      <c r="AM43" s="7"/>
      <c r="AN43" s="28" t="s">
        <v>344</v>
      </c>
      <c r="AO43" s="7">
        <v>8.3209000000000005E-2</v>
      </c>
      <c r="AP43" s="7">
        <v>7.0621000000000003E-2</v>
      </c>
      <c r="AQ43" s="26">
        <v>0.95341299999999995</v>
      </c>
      <c r="AR43" s="26">
        <v>0.95543800000000001</v>
      </c>
      <c r="AS43" s="26">
        <v>0.97951500000000002</v>
      </c>
      <c r="AT43" s="26">
        <v>218.211623</v>
      </c>
      <c r="AU43" s="26">
        <v>208.99286599999999</v>
      </c>
      <c r="AV43" s="26">
        <v>18.217213999999998</v>
      </c>
      <c r="AW43" s="26">
        <v>35.649062000000001</v>
      </c>
      <c r="AX43" s="26">
        <v>34.460445999999997</v>
      </c>
      <c r="AY43" s="26">
        <v>38.575277999999997</v>
      </c>
      <c r="AZ43" s="7">
        <f t="shared" si="42"/>
        <v>1.0251999606463214</v>
      </c>
      <c r="BA43" s="7">
        <f t="shared" si="43"/>
        <v>1.1194073924638119</v>
      </c>
      <c r="BB43" s="7">
        <f t="shared" si="44"/>
        <v>8.7166678694190453E-2</v>
      </c>
      <c r="BC43" s="7">
        <f t="shared" si="45"/>
        <v>0.56028505806340922</v>
      </c>
      <c r="BD43" s="7">
        <f t="shared" si="46"/>
        <v>4.5472779277902622E-2</v>
      </c>
      <c r="BE43" s="7">
        <f t="shared" si="47"/>
        <v>0.91651584022176502</v>
      </c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7"/>
      <c r="EF43" s="7"/>
      <c r="EG43" s="7"/>
      <c r="EH43" s="7"/>
      <c r="EI43" s="7"/>
      <c r="EJ43" s="7"/>
      <c r="EK43" s="7"/>
      <c r="EL43" s="7"/>
      <c r="EM43" s="7"/>
      <c r="EN43" s="7"/>
      <c r="EO43" s="7"/>
      <c r="EP43" s="7"/>
      <c r="EQ43" s="7"/>
      <c r="ER43" s="7"/>
      <c r="ES43" s="7"/>
      <c r="ET43" s="7"/>
      <c r="EU43" s="7"/>
      <c r="EV43" s="7"/>
      <c r="EW43" s="7"/>
      <c r="EX43" s="7"/>
      <c r="EY43" s="7"/>
      <c r="EZ43" s="7"/>
      <c r="FA43" s="7"/>
      <c r="FB43" s="7"/>
      <c r="FC43" s="7"/>
    </row>
    <row r="44" spans="3:159" ht="19" customHeight="1" x14ac:dyDescent="0.3">
      <c r="C44" s="4"/>
      <c r="D44" s="28" t="s">
        <v>351</v>
      </c>
      <c r="E44" s="7" t="s">
        <v>352</v>
      </c>
      <c r="F44" s="7" t="s">
        <v>353</v>
      </c>
      <c r="G44" s="7"/>
      <c r="H44" s="7"/>
      <c r="I44" s="21"/>
      <c r="J44" s="28" t="s">
        <v>351</v>
      </c>
      <c r="K44" s="7" t="s">
        <v>354</v>
      </c>
      <c r="L44" s="7" t="s">
        <v>355</v>
      </c>
      <c r="M44" s="7"/>
      <c r="N44" s="7"/>
      <c r="O44" s="21"/>
      <c r="P44" s="28" t="s">
        <v>351</v>
      </c>
      <c r="Q44" s="7">
        <v>4.8666000000000001E-2</v>
      </c>
      <c r="R44" s="7">
        <v>2.6380000000000001E-2</v>
      </c>
      <c r="S44" s="26">
        <v>0.94912700000000005</v>
      </c>
      <c r="T44" s="26">
        <v>0.94881099999999996</v>
      </c>
      <c r="U44" s="26">
        <v>0.98023899999999997</v>
      </c>
      <c r="V44" s="26">
        <v>115.23826200000001</v>
      </c>
      <c r="W44" s="26">
        <v>107.65826</v>
      </c>
      <c r="X44" s="26">
        <v>14.988315</v>
      </c>
      <c r="Y44" s="26">
        <v>29.820588999999998</v>
      </c>
      <c r="Z44" s="26">
        <v>29.97278</v>
      </c>
      <c r="AA44" s="26">
        <v>37.043418000000003</v>
      </c>
      <c r="AB44" s="7">
        <f t="shared" si="36"/>
        <v>1.0331235620160391</v>
      </c>
      <c r="AC44" s="7">
        <f t="shared" si="37"/>
        <v>1.2359019750587033</v>
      </c>
      <c r="AD44" s="7">
        <f t="shared" si="38"/>
        <v>0.13922122649948085</v>
      </c>
      <c r="AE44" s="7">
        <f t="shared" si="39"/>
        <v>0.61156212529239384</v>
      </c>
      <c r="AF44" s="7">
        <f t="shared" si="40"/>
        <v>0.10291948731231164</v>
      </c>
      <c r="AG44" s="7">
        <f t="shared" si="41"/>
        <v>0.86993629772028325</v>
      </c>
      <c r="AH44" s="28" t="s">
        <v>351</v>
      </c>
      <c r="AI44" s="7" t="s">
        <v>230</v>
      </c>
      <c r="AJ44" s="7" t="s">
        <v>356</v>
      </c>
      <c r="AK44" s="7"/>
      <c r="AL44" s="7"/>
      <c r="AM44" s="7"/>
      <c r="AN44" s="28" t="s">
        <v>351</v>
      </c>
      <c r="AO44" s="7">
        <v>6.1400000000000003E-2</v>
      </c>
      <c r="AP44" s="7">
        <v>4.4746000000000001E-2</v>
      </c>
      <c r="AQ44" s="26">
        <v>0.95341299999999995</v>
      </c>
      <c r="AR44" s="26">
        <v>0.95520899999999997</v>
      </c>
      <c r="AS44" s="26">
        <v>0.98163100000000003</v>
      </c>
      <c r="AT44" s="26">
        <v>218.211623</v>
      </c>
      <c r="AU44" s="26">
        <v>210.940438</v>
      </c>
      <c r="AV44" s="26">
        <v>13.418566</v>
      </c>
      <c r="AW44" s="26">
        <v>35.649062000000001</v>
      </c>
      <c r="AX44" s="26">
        <v>33.941786999999998</v>
      </c>
      <c r="AY44" s="26">
        <v>39.108001999999999</v>
      </c>
      <c r="AZ44" s="7">
        <f t="shared" si="42"/>
        <v>1.0276609621559261</v>
      </c>
      <c r="BA44" s="7">
        <f t="shared" si="43"/>
        <v>1.1522081026552904</v>
      </c>
      <c r="BB44" s="7">
        <f t="shared" si="44"/>
        <v>6.3613056497019316E-2</v>
      </c>
      <c r="BC44" s="7">
        <f t="shared" si="45"/>
        <v>0.60570545431128964</v>
      </c>
      <c r="BD44" s="7">
        <f t="shared" si="46"/>
        <v>5.3751197845787399E-2</v>
      </c>
      <c r="BE44" s="7">
        <f t="shared" si="47"/>
        <v>0.938506639492801</v>
      </c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7"/>
      <c r="EH44" s="7"/>
      <c r="EI44" s="7"/>
      <c r="EJ44" s="7"/>
      <c r="EK44" s="7"/>
      <c r="EL44" s="7"/>
      <c r="EM44" s="7"/>
      <c r="EN44" s="7"/>
      <c r="EO44" s="7"/>
      <c r="EP44" s="7"/>
      <c r="EQ44" s="7"/>
      <c r="ER44" s="7"/>
      <c r="ES44" s="7"/>
      <c r="ET44" s="7"/>
      <c r="EU44" s="7"/>
      <c r="EV44" s="7"/>
      <c r="EW44" s="7"/>
      <c r="EX44" s="7"/>
      <c r="EY44" s="7"/>
      <c r="EZ44" s="7"/>
      <c r="FA44" s="7"/>
      <c r="FB44" s="7"/>
      <c r="FC44" s="7"/>
    </row>
    <row r="45" spans="3:159" ht="19" customHeight="1" x14ac:dyDescent="0.3">
      <c r="C45" s="4"/>
      <c r="D45" s="30" t="s">
        <v>357</v>
      </c>
      <c r="E45" s="7" t="s">
        <v>358</v>
      </c>
      <c r="F45" s="7" t="s">
        <v>359</v>
      </c>
      <c r="G45" s="7"/>
      <c r="H45" s="7"/>
      <c r="I45" s="21"/>
      <c r="J45" s="30" t="s">
        <v>357</v>
      </c>
      <c r="K45" s="7" t="s">
        <v>360</v>
      </c>
      <c r="L45" s="7" t="s">
        <v>361</v>
      </c>
      <c r="M45" s="7"/>
      <c r="N45" s="7"/>
      <c r="O45" s="21"/>
      <c r="P45" s="30" t="s">
        <v>357</v>
      </c>
      <c r="Q45" s="7">
        <v>8.6803000000000005E-2</v>
      </c>
      <c r="R45" s="7">
        <v>7.6784000000000005E-2</v>
      </c>
      <c r="S45" s="26">
        <v>0.94912700000000005</v>
      </c>
      <c r="T45" s="26">
        <v>0.95</v>
      </c>
      <c r="U45" s="26">
        <v>0.97510200000000002</v>
      </c>
      <c r="V45" s="26">
        <v>115.23826200000001</v>
      </c>
      <c r="W45" s="26">
        <v>101.422239</v>
      </c>
      <c r="X45" s="26">
        <v>22.759235</v>
      </c>
      <c r="Y45" s="26">
        <v>29.820588999999998</v>
      </c>
      <c r="Z45" s="26">
        <v>30.499825999999999</v>
      </c>
      <c r="AA45" s="26">
        <v>35.282913999999998</v>
      </c>
      <c r="AB45" s="7">
        <f t="shared" si="36"/>
        <v>1.0264231578947369</v>
      </c>
      <c r="AC45" s="7">
        <f t="shared" si="37"/>
        <v>1.1568234520419887</v>
      </c>
      <c r="AD45" s="7">
        <f t="shared" si="38"/>
        <v>0.22440083382501544</v>
      </c>
      <c r="AE45" s="7">
        <f t="shared" si="39"/>
        <v>0.5105851827098854</v>
      </c>
      <c r="AF45" s="7">
        <f t="shared" si="40"/>
        <v>7.783372533576835E-2</v>
      </c>
      <c r="AG45" s="7">
        <f t="shared" si="41"/>
        <v>0.80250279199802577</v>
      </c>
      <c r="AH45" s="30" t="s">
        <v>357</v>
      </c>
      <c r="AI45" s="7" t="s">
        <v>362</v>
      </c>
      <c r="AJ45" s="7" t="s">
        <v>363</v>
      </c>
      <c r="AK45" s="7"/>
      <c r="AL45" s="7"/>
      <c r="AM45" s="7"/>
      <c r="AN45" s="30" t="s">
        <v>357</v>
      </c>
      <c r="AO45" s="7">
        <v>9.4303999999999999E-2</v>
      </c>
      <c r="AP45" s="7">
        <v>8.7673000000000001E-2</v>
      </c>
      <c r="AQ45" s="26">
        <v>0.95341299999999995</v>
      </c>
      <c r="AR45" s="26">
        <v>0.95522899999999999</v>
      </c>
      <c r="AS45" s="26">
        <v>0.97640400000000005</v>
      </c>
      <c r="AT45" s="26">
        <v>218.211623</v>
      </c>
      <c r="AU45" s="26">
        <v>201.56163000000001</v>
      </c>
      <c r="AV45" s="26">
        <v>23.741416999999998</v>
      </c>
      <c r="AW45" s="26">
        <v>35.649062000000001</v>
      </c>
      <c r="AX45" s="26">
        <v>34.540937</v>
      </c>
      <c r="AY45" s="26">
        <v>37.574509999999997</v>
      </c>
      <c r="AZ45" s="7">
        <f t="shared" si="42"/>
        <v>1.0221674593212728</v>
      </c>
      <c r="BA45" s="7">
        <f t="shared" si="43"/>
        <v>1.0878254402884322</v>
      </c>
      <c r="BB45" s="7">
        <f t="shared" si="44"/>
        <v>0.11778738344197751</v>
      </c>
      <c r="BC45" s="7">
        <f t="shared" si="45"/>
        <v>0.49350677227552908</v>
      </c>
      <c r="BD45" s="7">
        <f t="shared" si="46"/>
        <v>2.9921055696188855E-2</v>
      </c>
      <c r="BE45" s="7">
        <f t="shared" si="47"/>
        <v>0.89120003474791998</v>
      </c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  <c r="ED45" s="7"/>
      <c r="EE45" s="7"/>
      <c r="EF45" s="7"/>
      <c r="EG45" s="7"/>
      <c r="EH45" s="7"/>
      <c r="EI45" s="7"/>
      <c r="EJ45" s="7"/>
      <c r="EK45" s="7"/>
      <c r="EL45" s="7"/>
      <c r="EM45" s="7"/>
      <c r="EN45" s="7"/>
      <c r="EO45" s="7"/>
      <c r="EP45" s="7"/>
      <c r="EQ45" s="7"/>
      <c r="ER45" s="7"/>
      <c r="ES45" s="7"/>
      <c r="ET45" s="7"/>
      <c r="EU45" s="7"/>
      <c r="EV45" s="7"/>
      <c r="EW45" s="7"/>
      <c r="EX45" s="7"/>
      <c r="EY45" s="7"/>
      <c r="EZ45" s="7"/>
      <c r="FA45" s="7"/>
      <c r="FB45" s="7"/>
      <c r="FC45" s="7"/>
    </row>
    <row r="46" spans="3:159" ht="26" x14ac:dyDescent="0.3">
      <c r="C46" s="4"/>
      <c r="D46" s="12" t="s">
        <v>15</v>
      </c>
      <c r="E46" s="7" t="s">
        <v>15</v>
      </c>
      <c r="F46" s="7" t="s">
        <v>15</v>
      </c>
      <c r="G46" s="7" t="s">
        <v>15</v>
      </c>
      <c r="H46" s="7" t="s">
        <v>15</v>
      </c>
      <c r="I46" s="21" t="s">
        <v>15</v>
      </c>
      <c r="J46" s="12" t="s">
        <v>15</v>
      </c>
      <c r="K46" s="7" t="s">
        <v>15</v>
      </c>
      <c r="L46" s="7" t="s">
        <v>15</v>
      </c>
      <c r="M46" s="7" t="s">
        <v>15</v>
      </c>
      <c r="N46" s="7" t="s">
        <v>15</v>
      </c>
      <c r="O46" s="21" t="s">
        <v>15</v>
      </c>
      <c r="P46" s="12" t="s">
        <v>15</v>
      </c>
      <c r="Q46" s="7" t="s">
        <v>15</v>
      </c>
      <c r="R46" s="7" t="s">
        <v>15</v>
      </c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12" t="s">
        <v>15</v>
      </c>
      <c r="AI46" s="7" t="s">
        <v>15</v>
      </c>
      <c r="AJ46" s="7" t="s">
        <v>15</v>
      </c>
      <c r="AK46" s="7" t="s">
        <v>15</v>
      </c>
      <c r="AL46" s="7" t="s">
        <v>15</v>
      </c>
      <c r="AM46" s="7" t="s">
        <v>15</v>
      </c>
      <c r="AN46" s="12" t="s">
        <v>15</v>
      </c>
      <c r="AO46" s="7" t="s">
        <v>15</v>
      </c>
      <c r="AP46" s="7" t="s">
        <v>15</v>
      </c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 t="s">
        <v>15</v>
      </c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7"/>
      <c r="EN46" s="7"/>
      <c r="EO46" s="7"/>
      <c r="EP46" s="7"/>
      <c r="EQ46" s="7"/>
      <c r="ER46" s="7"/>
      <c r="ES46" s="7"/>
      <c r="ET46" s="7"/>
      <c r="EU46" s="7"/>
      <c r="EV46" s="7"/>
      <c r="EW46" s="7"/>
      <c r="EX46" s="7"/>
      <c r="EY46" s="7"/>
      <c r="EZ46" s="7"/>
      <c r="FA46" s="7"/>
      <c r="FB46" s="7"/>
      <c r="FC46" s="7"/>
    </row>
    <row r="47" spans="3:159" ht="26" x14ac:dyDescent="0.3">
      <c r="C47" s="4"/>
      <c r="D47" s="31" t="s">
        <v>364</v>
      </c>
      <c r="E47" s="7" t="s">
        <v>365</v>
      </c>
      <c r="F47" s="7" t="s">
        <v>366</v>
      </c>
      <c r="G47" s="7" t="s">
        <v>15</v>
      </c>
      <c r="H47" s="7" t="s">
        <v>15</v>
      </c>
      <c r="I47" s="21" t="s">
        <v>15</v>
      </c>
      <c r="J47" s="31" t="s">
        <v>364</v>
      </c>
      <c r="K47" s="7" t="s">
        <v>367</v>
      </c>
      <c r="L47" s="7" t="s">
        <v>368</v>
      </c>
      <c r="M47" s="7" t="s">
        <v>15</v>
      </c>
      <c r="N47" s="7" t="s">
        <v>15</v>
      </c>
      <c r="O47" s="21" t="s">
        <v>15</v>
      </c>
      <c r="P47" s="31" t="s">
        <v>364</v>
      </c>
      <c r="Q47" s="7" t="s">
        <v>15</v>
      </c>
      <c r="R47" s="7" t="s">
        <v>15</v>
      </c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31" t="s">
        <v>364</v>
      </c>
      <c r="AI47" s="7" t="s">
        <v>369</v>
      </c>
      <c r="AJ47" s="7" t="s">
        <v>370</v>
      </c>
      <c r="AK47" s="7" t="s">
        <v>15</v>
      </c>
      <c r="AL47" s="7" t="s">
        <v>15</v>
      </c>
      <c r="AM47" s="7" t="s">
        <v>15</v>
      </c>
      <c r="AN47" s="31" t="s">
        <v>364</v>
      </c>
      <c r="AO47" s="7" t="s">
        <v>15</v>
      </c>
      <c r="AP47" s="7" t="s">
        <v>15</v>
      </c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 t="s">
        <v>15</v>
      </c>
      <c r="BG47" s="7" t="s">
        <v>15</v>
      </c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  <c r="EL47" s="7"/>
      <c r="EM47" s="7"/>
      <c r="EN47" s="7"/>
      <c r="EO47" s="7"/>
      <c r="EP47" s="7"/>
      <c r="EQ47" s="7"/>
      <c r="ER47" s="7"/>
      <c r="ES47" s="7"/>
      <c r="ET47" s="7"/>
      <c r="EU47" s="7"/>
      <c r="EV47" s="7"/>
      <c r="EW47" s="7"/>
      <c r="EX47" s="7"/>
      <c r="EY47" s="7"/>
      <c r="EZ47" s="7"/>
      <c r="FA47" s="7"/>
      <c r="FB47" s="7"/>
      <c r="FC47" s="7"/>
    </row>
    <row r="48" spans="3:159" ht="26" x14ac:dyDescent="0.3">
      <c r="C48" s="4"/>
      <c r="D48" s="32" t="s">
        <v>371</v>
      </c>
      <c r="E48" s="7" t="s">
        <v>372</v>
      </c>
      <c r="F48" s="7" t="s">
        <v>373</v>
      </c>
      <c r="G48" s="7" t="s">
        <v>15</v>
      </c>
      <c r="H48" s="7" t="s">
        <v>15</v>
      </c>
      <c r="I48" s="21" t="s">
        <v>15</v>
      </c>
      <c r="J48" s="32" t="s">
        <v>371</v>
      </c>
      <c r="K48" s="7" t="s">
        <v>374</v>
      </c>
      <c r="L48" s="7" t="s">
        <v>375</v>
      </c>
      <c r="M48" s="7" t="s">
        <v>15</v>
      </c>
      <c r="N48" s="7" t="s">
        <v>15</v>
      </c>
      <c r="O48" s="21" t="s">
        <v>15</v>
      </c>
      <c r="P48" s="32" t="s">
        <v>371</v>
      </c>
      <c r="Q48" s="7" t="s">
        <v>15</v>
      </c>
      <c r="R48" s="7" t="s">
        <v>15</v>
      </c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32" t="s">
        <v>371</v>
      </c>
      <c r="AI48" s="7" t="s">
        <v>376</v>
      </c>
      <c r="AJ48" s="7" t="s">
        <v>377</v>
      </c>
      <c r="AK48" s="7" t="s">
        <v>15</v>
      </c>
      <c r="AL48" s="7" t="s">
        <v>15</v>
      </c>
      <c r="AM48" s="7" t="s">
        <v>15</v>
      </c>
      <c r="AN48" s="32" t="s">
        <v>371</v>
      </c>
      <c r="AO48" s="7" t="s">
        <v>15</v>
      </c>
      <c r="AP48" s="7" t="s">
        <v>15</v>
      </c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 t="s">
        <v>15</v>
      </c>
      <c r="BG48" s="7" t="s">
        <v>15</v>
      </c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7"/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 s="7"/>
      <c r="DX48" s="7"/>
      <c r="DY48" s="7"/>
      <c r="DZ48" s="7"/>
      <c r="EA48" s="7"/>
      <c r="EB48" s="7"/>
      <c r="EC48" s="7"/>
      <c r="ED48" s="7"/>
      <c r="EE48" s="7"/>
      <c r="EF48" s="7"/>
      <c r="EG48" s="7"/>
      <c r="EH48" s="7"/>
      <c r="EI48" s="7"/>
      <c r="EJ48" s="7"/>
      <c r="EK48" s="7"/>
      <c r="EL48" s="7"/>
      <c r="EM48" s="7"/>
      <c r="EN48" s="7"/>
      <c r="EO48" s="7"/>
      <c r="EP48" s="7"/>
      <c r="EQ48" s="7"/>
      <c r="ER48" s="7"/>
      <c r="ES48" s="7"/>
      <c r="ET48" s="7"/>
      <c r="EU48" s="7"/>
      <c r="EV48" s="7"/>
      <c r="EW48" s="7"/>
      <c r="EX48" s="7"/>
      <c r="EY48" s="7"/>
      <c r="EZ48" s="7"/>
      <c r="FA48" s="7"/>
      <c r="FB48" s="7"/>
      <c r="FC48" s="7"/>
    </row>
    <row r="49" spans="3:159" ht="26" x14ac:dyDescent="0.3">
      <c r="C49" s="4"/>
      <c r="D49" s="32" t="s">
        <v>378</v>
      </c>
      <c r="E49" s="7" t="s">
        <v>379</v>
      </c>
      <c r="F49" s="7" t="s">
        <v>380</v>
      </c>
      <c r="G49" s="7" t="s">
        <v>15</v>
      </c>
      <c r="H49" s="7" t="s">
        <v>15</v>
      </c>
      <c r="I49" s="21" t="s">
        <v>15</v>
      </c>
      <c r="J49" s="32" t="s">
        <v>378</v>
      </c>
      <c r="K49" s="7" t="s">
        <v>381</v>
      </c>
      <c r="L49" s="7" t="s">
        <v>382</v>
      </c>
      <c r="M49" s="7" t="s">
        <v>15</v>
      </c>
      <c r="N49" s="7" t="s">
        <v>15</v>
      </c>
      <c r="O49" s="21" t="s">
        <v>15</v>
      </c>
      <c r="P49" s="32" t="s">
        <v>378</v>
      </c>
      <c r="Q49" s="7" t="s">
        <v>15</v>
      </c>
      <c r="R49" s="7" t="s">
        <v>15</v>
      </c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32" t="s">
        <v>378</v>
      </c>
      <c r="AI49" s="7" t="s">
        <v>383</v>
      </c>
      <c r="AJ49" s="7" t="s">
        <v>384</v>
      </c>
      <c r="AK49" s="7" t="s">
        <v>15</v>
      </c>
      <c r="AL49" s="7" t="s">
        <v>15</v>
      </c>
      <c r="AM49" s="7" t="s">
        <v>15</v>
      </c>
      <c r="AN49" s="32" t="s">
        <v>378</v>
      </c>
      <c r="AO49" s="7" t="s">
        <v>15</v>
      </c>
      <c r="AP49" s="7" t="s">
        <v>15</v>
      </c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 t="s">
        <v>15</v>
      </c>
      <c r="BG49" s="7" t="s">
        <v>15</v>
      </c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7"/>
      <c r="EC49" s="7"/>
      <c r="ED49" s="7"/>
      <c r="EE49" s="7"/>
      <c r="EF49" s="7"/>
      <c r="EG49" s="7"/>
      <c r="EH49" s="7"/>
      <c r="EI49" s="7"/>
      <c r="EJ49" s="7"/>
      <c r="EK49" s="7"/>
      <c r="EL49" s="7"/>
      <c r="EM49" s="7"/>
      <c r="EN49" s="7"/>
      <c r="EO49" s="7"/>
      <c r="EP49" s="7"/>
      <c r="EQ49" s="7"/>
      <c r="ER49" s="7"/>
      <c r="ES49" s="7"/>
      <c r="ET49" s="7"/>
      <c r="EU49" s="7"/>
      <c r="EV49" s="7"/>
      <c r="EW49" s="7"/>
      <c r="EX49" s="7"/>
      <c r="EY49" s="7"/>
      <c r="EZ49" s="7"/>
      <c r="FA49" s="7"/>
      <c r="FB49" s="7"/>
      <c r="FC49" s="7"/>
    </row>
    <row r="50" spans="3:159" ht="26" x14ac:dyDescent="0.3">
      <c r="C50" s="4"/>
      <c r="D50" s="32" t="s">
        <v>385</v>
      </c>
      <c r="E50" s="7" t="s">
        <v>386</v>
      </c>
      <c r="F50" s="7" t="s">
        <v>387</v>
      </c>
      <c r="G50" s="7" t="s">
        <v>15</v>
      </c>
      <c r="H50" s="7" t="s">
        <v>15</v>
      </c>
      <c r="I50" s="21" t="s">
        <v>15</v>
      </c>
      <c r="J50" s="32" t="s">
        <v>385</v>
      </c>
      <c r="K50" s="7" t="s">
        <v>388</v>
      </c>
      <c r="L50" s="7" t="s">
        <v>389</v>
      </c>
      <c r="M50" s="7" t="s">
        <v>15</v>
      </c>
      <c r="N50" s="7" t="s">
        <v>15</v>
      </c>
      <c r="O50" s="21" t="s">
        <v>15</v>
      </c>
      <c r="P50" s="32" t="s">
        <v>385</v>
      </c>
      <c r="Q50" s="7" t="s">
        <v>15</v>
      </c>
      <c r="R50" s="7" t="s">
        <v>15</v>
      </c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32" t="s">
        <v>385</v>
      </c>
      <c r="AI50" s="7" t="s">
        <v>390</v>
      </c>
      <c r="AJ50" s="7" t="s">
        <v>391</v>
      </c>
      <c r="AK50" s="7" t="s">
        <v>15</v>
      </c>
      <c r="AL50" s="7" t="s">
        <v>15</v>
      </c>
      <c r="AM50" s="7" t="s">
        <v>15</v>
      </c>
      <c r="AN50" s="32" t="s">
        <v>385</v>
      </c>
      <c r="AO50" s="7" t="s">
        <v>15</v>
      </c>
      <c r="AP50" s="7" t="s">
        <v>15</v>
      </c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 t="s">
        <v>15</v>
      </c>
      <c r="BG50" s="7" t="s">
        <v>15</v>
      </c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7"/>
      <c r="EC50" s="7"/>
      <c r="ED50" s="7"/>
      <c r="EE50" s="7"/>
      <c r="EF50" s="7"/>
      <c r="EG50" s="7"/>
      <c r="EH50" s="7"/>
      <c r="EI50" s="7"/>
      <c r="EJ50" s="7"/>
      <c r="EK50" s="7"/>
      <c r="EL50" s="7"/>
      <c r="EM50" s="7"/>
      <c r="EN50" s="7"/>
      <c r="EO50" s="7"/>
      <c r="EP50" s="7"/>
      <c r="EQ50" s="7"/>
      <c r="ER50" s="7"/>
      <c r="ES50" s="7"/>
      <c r="ET50" s="7"/>
      <c r="EU50" s="7"/>
      <c r="EV50" s="7"/>
      <c r="EW50" s="7"/>
      <c r="EX50" s="7"/>
      <c r="EY50" s="7"/>
      <c r="EZ50" s="7"/>
      <c r="FA50" s="7"/>
      <c r="FB50" s="7"/>
      <c r="FC50" s="7"/>
    </row>
    <row r="51" spans="3:159" ht="26" x14ac:dyDescent="0.3">
      <c r="C51" s="4"/>
      <c r="D51" s="32" t="s">
        <v>392</v>
      </c>
      <c r="E51" s="7" t="s">
        <v>393</v>
      </c>
      <c r="F51" s="7" t="s">
        <v>394</v>
      </c>
      <c r="G51" s="7" t="s">
        <v>15</v>
      </c>
      <c r="H51" s="7" t="s">
        <v>15</v>
      </c>
      <c r="I51" s="21" t="s">
        <v>15</v>
      </c>
      <c r="J51" s="32" t="s">
        <v>392</v>
      </c>
      <c r="K51" s="7" t="s">
        <v>395</v>
      </c>
      <c r="L51" s="7" t="s">
        <v>396</v>
      </c>
      <c r="M51" s="7" t="s">
        <v>15</v>
      </c>
      <c r="N51" s="7" t="s">
        <v>15</v>
      </c>
      <c r="O51" s="21" t="s">
        <v>15</v>
      </c>
      <c r="P51" s="32" t="s">
        <v>392</v>
      </c>
      <c r="Q51" s="7" t="s">
        <v>15</v>
      </c>
      <c r="R51" s="7" t="s">
        <v>15</v>
      </c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32" t="s">
        <v>392</v>
      </c>
      <c r="AI51" s="7" t="s">
        <v>397</v>
      </c>
      <c r="AJ51" s="7" t="s">
        <v>398</v>
      </c>
      <c r="AK51" s="7" t="s">
        <v>15</v>
      </c>
      <c r="AL51" s="7" t="s">
        <v>15</v>
      </c>
      <c r="AM51" s="7" t="s">
        <v>15</v>
      </c>
      <c r="AN51" s="32" t="s">
        <v>392</v>
      </c>
      <c r="AO51" s="7" t="s">
        <v>15</v>
      </c>
      <c r="AP51" s="7" t="s">
        <v>15</v>
      </c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 t="s">
        <v>15</v>
      </c>
      <c r="BG51" s="7" t="s">
        <v>15</v>
      </c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7"/>
      <c r="DR51" s="7"/>
      <c r="DS51" s="7"/>
      <c r="DT51" s="7"/>
      <c r="DU51" s="7"/>
      <c r="DV51" s="7"/>
      <c r="DW51" s="7"/>
      <c r="DX51" s="7"/>
      <c r="DY51" s="7"/>
      <c r="DZ51" s="7"/>
      <c r="EA51" s="7"/>
      <c r="EB51" s="7"/>
      <c r="EC51" s="7"/>
      <c r="ED51" s="7"/>
      <c r="EE51" s="7"/>
      <c r="EF51" s="7"/>
      <c r="EG51" s="7"/>
      <c r="EH51" s="7"/>
      <c r="EI51" s="7"/>
      <c r="EJ51" s="7"/>
      <c r="EK51" s="7"/>
      <c r="EL51" s="7"/>
      <c r="EM51" s="7"/>
      <c r="EN51" s="7"/>
      <c r="EO51" s="7"/>
      <c r="EP51" s="7"/>
      <c r="EQ51" s="7"/>
      <c r="ER51" s="7"/>
      <c r="ES51" s="7"/>
      <c r="ET51" s="7"/>
      <c r="EU51" s="7"/>
      <c r="EV51" s="7"/>
      <c r="EW51" s="7"/>
      <c r="EX51" s="7"/>
      <c r="EY51" s="7"/>
      <c r="EZ51" s="7"/>
      <c r="FA51" s="7"/>
      <c r="FB51" s="7"/>
      <c r="FC51" s="7"/>
    </row>
    <row r="52" spans="3:159" ht="26" x14ac:dyDescent="0.3">
      <c r="C52" s="4"/>
      <c r="D52" s="32" t="s">
        <v>399</v>
      </c>
      <c r="E52" s="7" t="s">
        <v>400</v>
      </c>
      <c r="F52" s="7" t="s">
        <v>401</v>
      </c>
      <c r="G52" s="7" t="s">
        <v>15</v>
      </c>
      <c r="H52" s="7" t="s">
        <v>15</v>
      </c>
      <c r="I52" s="21" t="s">
        <v>15</v>
      </c>
      <c r="J52" s="32" t="s">
        <v>399</v>
      </c>
      <c r="K52" s="7" t="s">
        <v>402</v>
      </c>
      <c r="L52" s="7" t="s">
        <v>403</v>
      </c>
      <c r="M52" s="7" t="s">
        <v>15</v>
      </c>
      <c r="N52" s="7" t="s">
        <v>15</v>
      </c>
      <c r="O52" s="21" t="s">
        <v>15</v>
      </c>
      <c r="P52" s="32" t="s">
        <v>399</v>
      </c>
      <c r="Q52" s="7" t="s">
        <v>15</v>
      </c>
      <c r="R52" s="7" t="s">
        <v>15</v>
      </c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32" t="s">
        <v>399</v>
      </c>
      <c r="AI52" s="7" t="s">
        <v>404</v>
      </c>
      <c r="AJ52" s="7" t="s">
        <v>405</v>
      </c>
      <c r="AK52" s="7" t="s">
        <v>15</v>
      </c>
      <c r="AL52" s="7" t="s">
        <v>15</v>
      </c>
      <c r="AM52" s="7" t="s">
        <v>15</v>
      </c>
      <c r="AN52" s="32" t="s">
        <v>399</v>
      </c>
      <c r="AO52" s="7" t="s">
        <v>15</v>
      </c>
      <c r="AP52" s="7" t="s">
        <v>15</v>
      </c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 t="s">
        <v>15</v>
      </c>
      <c r="BG52" s="7" t="s">
        <v>15</v>
      </c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7"/>
      <c r="EC52" s="7"/>
      <c r="ED52" s="7"/>
      <c r="EE52" s="7"/>
      <c r="EF52" s="7"/>
      <c r="EG52" s="7"/>
      <c r="EH52" s="7"/>
      <c r="EI52" s="7"/>
      <c r="EJ52" s="7"/>
      <c r="EK52" s="7"/>
      <c r="EL52" s="7"/>
      <c r="EM52" s="7"/>
      <c r="EN52" s="7"/>
      <c r="EO52" s="7"/>
      <c r="EP52" s="7"/>
      <c r="EQ52" s="7"/>
      <c r="ER52" s="7"/>
      <c r="ES52" s="7"/>
      <c r="ET52" s="7"/>
      <c r="EU52" s="7"/>
      <c r="EV52" s="7"/>
      <c r="EW52" s="7"/>
      <c r="EX52" s="7"/>
      <c r="EY52" s="7"/>
      <c r="EZ52" s="7"/>
      <c r="FA52" s="7"/>
      <c r="FB52" s="7"/>
      <c r="FC52" s="7"/>
    </row>
    <row r="53" spans="3:159" ht="26" x14ac:dyDescent="0.3">
      <c r="C53" s="4"/>
      <c r="D53" s="32" t="s">
        <v>406</v>
      </c>
      <c r="E53" s="7" t="s">
        <v>407</v>
      </c>
      <c r="F53" s="7" t="s">
        <v>408</v>
      </c>
      <c r="G53" s="7" t="s">
        <v>15</v>
      </c>
      <c r="H53" s="7" t="s">
        <v>15</v>
      </c>
      <c r="I53" s="21" t="s">
        <v>15</v>
      </c>
      <c r="J53" s="32" t="s">
        <v>406</v>
      </c>
      <c r="K53" s="7" t="s">
        <v>409</v>
      </c>
      <c r="L53" s="7" t="s">
        <v>410</v>
      </c>
      <c r="M53" s="7" t="s">
        <v>15</v>
      </c>
      <c r="N53" s="7" t="s">
        <v>15</v>
      </c>
      <c r="O53" s="21" t="s">
        <v>15</v>
      </c>
      <c r="P53" s="32" t="s">
        <v>406</v>
      </c>
      <c r="Q53" s="7" t="s">
        <v>15</v>
      </c>
      <c r="R53" s="7" t="s">
        <v>15</v>
      </c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32" t="s">
        <v>406</v>
      </c>
      <c r="AI53" s="7" t="s">
        <v>411</v>
      </c>
      <c r="AJ53" s="7" t="s">
        <v>412</v>
      </c>
      <c r="AK53" s="7" t="s">
        <v>15</v>
      </c>
      <c r="AL53" s="7" t="s">
        <v>15</v>
      </c>
      <c r="AM53" s="7" t="s">
        <v>15</v>
      </c>
      <c r="AN53" s="32" t="s">
        <v>406</v>
      </c>
      <c r="AO53" s="7" t="s">
        <v>15</v>
      </c>
      <c r="AP53" s="7" t="s">
        <v>15</v>
      </c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 t="s">
        <v>15</v>
      </c>
      <c r="BG53" s="7" t="s">
        <v>15</v>
      </c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s="7"/>
      <c r="EC53" s="7"/>
      <c r="ED53" s="7"/>
      <c r="EE53" s="7"/>
      <c r="EF53" s="7"/>
      <c r="EG53" s="7"/>
      <c r="EH53" s="7"/>
      <c r="EI53" s="7"/>
      <c r="EJ53" s="7"/>
      <c r="EK53" s="7"/>
      <c r="EL53" s="7"/>
      <c r="EM53" s="7"/>
      <c r="EN53" s="7"/>
      <c r="EO53" s="7"/>
      <c r="EP53" s="7"/>
      <c r="EQ53" s="7"/>
      <c r="ER53" s="7"/>
      <c r="ES53" s="7"/>
      <c r="ET53" s="7"/>
      <c r="EU53" s="7"/>
      <c r="EV53" s="7"/>
      <c r="EW53" s="7"/>
      <c r="EX53" s="7"/>
      <c r="EY53" s="7"/>
      <c r="EZ53" s="7"/>
      <c r="FA53" s="7"/>
      <c r="FB53" s="7"/>
      <c r="FC53" s="7"/>
    </row>
    <row r="54" spans="3:159" ht="26" x14ac:dyDescent="0.3">
      <c r="C54" s="4"/>
      <c r="D54" s="32" t="s">
        <v>413</v>
      </c>
      <c r="E54" s="7" t="s">
        <v>414</v>
      </c>
      <c r="F54" s="7" t="s">
        <v>415</v>
      </c>
      <c r="G54" s="7" t="s">
        <v>15</v>
      </c>
      <c r="H54" s="7" t="s">
        <v>15</v>
      </c>
      <c r="I54" s="21" t="s">
        <v>15</v>
      </c>
      <c r="J54" s="32" t="s">
        <v>413</v>
      </c>
      <c r="K54" s="7" t="s">
        <v>416</v>
      </c>
      <c r="L54" s="7" t="s">
        <v>417</v>
      </c>
      <c r="M54" s="7" t="s">
        <v>15</v>
      </c>
      <c r="N54" s="7" t="s">
        <v>15</v>
      </c>
      <c r="O54" s="21" t="s">
        <v>15</v>
      </c>
      <c r="P54" s="32" t="s">
        <v>413</v>
      </c>
      <c r="Q54" s="7" t="s">
        <v>15</v>
      </c>
      <c r="R54" s="7" t="s">
        <v>15</v>
      </c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32" t="s">
        <v>413</v>
      </c>
      <c r="AI54" s="7" t="s">
        <v>418</v>
      </c>
      <c r="AJ54" s="7" t="s">
        <v>419</v>
      </c>
      <c r="AK54" s="7" t="s">
        <v>15</v>
      </c>
      <c r="AL54" s="7" t="s">
        <v>15</v>
      </c>
      <c r="AM54" s="7" t="s">
        <v>15</v>
      </c>
      <c r="AN54" s="32" t="s">
        <v>413</v>
      </c>
      <c r="AO54" s="7" t="s">
        <v>15</v>
      </c>
      <c r="AP54" s="7" t="s">
        <v>15</v>
      </c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 t="s">
        <v>15</v>
      </c>
      <c r="BG54" s="7" t="s">
        <v>15</v>
      </c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7"/>
      <c r="ED54" s="7"/>
      <c r="EE54" s="7"/>
      <c r="EF54" s="7"/>
      <c r="EG54" s="7"/>
      <c r="EH54" s="7"/>
      <c r="EI54" s="7"/>
      <c r="EJ54" s="7"/>
      <c r="EK54" s="7"/>
      <c r="EL54" s="7"/>
      <c r="EM54" s="7"/>
      <c r="EN54" s="7"/>
      <c r="EO54" s="7"/>
      <c r="EP54" s="7"/>
      <c r="EQ54" s="7"/>
      <c r="ER54" s="7"/>
      <c r="ES54" s="7"/>
      <c r="ET54" s="7"/>
      <c r="EU54" s="7"/>
      <c r="EV54" s="7"/>
      <c r="EW54" s="7"/>
      <c r="EX54" s="7"/>
      <c r="EY54" s="7"/>
      <c r="EZ54" s="7"/>
      <c r="FA54" s="7"/>
      <c r="FB54" s="7"/>
      <c r="FC54" s="7"/>
    </row>
    <row r="55" spans="3:159" ht="26" x14ac:dyDescent="0.3">
      <c r="C55" s="4"/>
      <c r="D55" s="32" t="s">
        <v>420</v>
      </c>
      <c r="E55" s="7" t="s">
        <v>421</v>
      </c>
      <c r="F55" s="7" t="s">
        <v>422</v>
      </c>
      <c r="G55" s="7" t="s">
        <v>15</v>
      </c>
      <c r="H55" s="7" t="s">
        <v>15</v>
      </c>
      <c r="I55" s="21" t="s">
        <v>15</v>
      </c>
      <c r="J55" s="32" t="s">
        <v>420</v>
      </c>
      <c r="K55" s="7" t="s">
        <v>423</v>
      </c>
      <c r="L55" s="7" t="s">
        <v>424</v>
      </c>
      <c r="M55" s="7" t="s">
        <v>15</v>
      </c>
      <c r="N55" s="7" t="s">
        <v>15</v>
      </c>
      <c r="O55" s="21" t="s">
        <v>15</v>
      </c>
      <c r="P55" s="32" t="s">
        <v>420</v>
      </c>
      <c r="Q55" s="7" t="s">
        <v>15</v>
      </c>
      <c r="R55" s="7" t="s">
        <v>15</v>
      </c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32" t="s">
        <v>420</v>
      </c>
      <c r="AI55" s="7" t="s">
        <v>425</v>
      </c>
      <c r="AJ55" s="7" t="s">
        <v>426</v>
      </c>
      <c r="AK55" s="7" t="s">
        <v>15</v>
      </c>
      <c r="AL55" s="7" t="s">
        <v>15</v>
      </c>
      <c r="AM55" s="7" t="s">
        <v>15</v>
      </c>
      <c r="AN55" s="32" t="s">
        <v>420</v>
      </c>
      <c r="AO55" s="7" t="s">
        <v>15</v>
      </c>
      <c r="AP55" s="7" t="s">
        <v>15</v>
      </c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 t="s">
        <v>15</v>
      </c>
      <c r="BG55" s="7" t="s">
        <v>15</v>
      </c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s="7"/>
      <c r="EC55" s="7"/>
      <c r="ED55" s="7"/>
      <c r="EE55" s="7"/>
      <c r="EF55" s="7"/>
      <c r="EG55" s="7"/>
      <c r="EH55" s="7"/>
      <c r="EI55" s="7"/>
      <c r="EJ55" s="7"/>
      <c r="EK55" s="7"/>
      <c r="EL55" s="7"/>
      <c r="EM55" s="7"/>
      <c r="EN55" s="7"/>
      <c r="EO55" s="7"/>
      <c r="EP55" s="7"/>
      <c r="EQ55" s="7"/>
      <c r="ER55" s="7"/>
      <c r="ES55" s="7"/>
      <c r="ET55" s="7"/>
      <c r="EU55" s="7"/>
      <c r="EV55" s="7"/>
      <c r="EW55" s="7"/>
      <c r="EX55" s="7"/>
      <c r="EY55" s="7"/>
      <c r="EZ55" s="7"/>
      <c r="FA55" s="7"/>
      <c r="FB55" s="7"/>
      <c r="FC55" s="7"/>
    </row>
    <row r="56" spans="3:159" ht="26" x14ac:dyDescent="0.3">
      <c r="C56" s="4"/>
      <c r="D56" s="32" t="s">
        <v>427</v>
      </c>
      <c r="E56" s="7" t="s">
        <v>428</v>
      </c>
      <c r="F56" s="7" t="s">
        <v>429</v>
      </c>
      <c r="G56" s="7" t="s">
        <v>15</v>
      </c>
      <c r="H56" s="7" t="s">
        <v>15</v>
      </c>
      <c r="I56" s="21" t="s">
        <v>15</v>
      </c>
      <c r="J56" s="32" t="s">
        <v>427</v>
      </c>
      <c r="K56" s="7" t="s">
        <v>430</v>
      </c>
      <c r="L56" s="7" t="s">
        <v>431</v>
      </c>
      <c r="M56" s="7" t="s">
        <v>15</v>
      </c>
      <c r="N56" s="7" t="s">
        <v>15</v>
      </c>
      <c r="O56" s="21" t="s">
        <v>15</v>
      </c>
      <c r="P56" s="32" t="s">
        <v>427</v>
      </c>
      <c r="Q56" s="7" t="s">
        <v>15</v>
      </c>
      <c r="R56" s="7" t="s">
        <v>15</v>
      </c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32" t="s">
        <v>427</v>
      </c>
      <c r="AI56" s="7" t="s">
        <v>432</v>
      </c>
      <c r="AJ56" s="7" t="s">
        <v>433</v>
      </c>
      <c r="AK56" s="7" t="s">
        <v>15</v>
      </c>
      <c r="AL56" s="7" t="s">
        <v>15</v>
      </c>
      <c r="AM56" s="7" t="s">
        <v>15</v>
      </c>
      <c r="AN56" s="32" t="s">
        <v>427</v>
      </c>
      <c r="AO56" s="7" t="s">
        <v>15</v>
      </c>
      <c r="AP56" s="7" t="s">
        <v>15</v>
      </c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 t="s">
        <v>15</v>
      </c>
      <c r="BG56" s="7" t="s">
        <v>15</v>
      </c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7"/>
      <c r="DR56" s="7"/>
      <c r="DS56" s="7"/>
      <c r="DT56" s="7"/>
      <c r="DU56" s="7"/>
      <c r="DV56" s="7"/>
      <c r="DW56" s="7"/>
      <c r="DX56" s="7"/>
      <c r="DY56" s="7"/>
      <c r="DZ56" s="7"/>
      <c r="EA56" s="7"/>
      <c r="EB56" s="7"/>
      <c r="EC56" s="7"/>
      <c r="ED56" s="7"/>
      <c r="EE56" s="7"/>
      <c r="EF56" s="7"/>
      <c r="EG56" s="7"/>
      <c r="EH56" s="7"/>
      <c r="EI56" s="7"/>
      <c r="EJ56" s="7"/>
      <c r="EK56" s="7"/>
      <c r="EL56" s="7"/>
      <c r="EM56" s="7"/>
      <c r="EN56" s="7"/>
      <c r="EO56" s="7"/>
      <c r="EP56" s="7"/>
      <c r="EQ56" s="7"/>
      <c r="ER56" s="7"/>
      <c r="ES56" s="7"/>
      <c r="ET56" s="7"/>
      <c r="EU56" s="7"/>
      <c r="EV56" s="7"/>
      <c r="EW56" s="7"/>
      <c r="EX56" s="7"/>
      <c r="EY56" s="7"/>
      <c r="EZ56" s="7"/>
      <c r="FA56" s="7"/>
      <c r="FB56" s="7"/>
      <c r="FC56" s="7"/>
    </row>
    <row r="57" spans="3:159" ht="26" x14ac:dyDescent="0.3">
      <c r="C57" s="4"/>
      <c r="D57" s="32" t="s">
        <v>434</v>
      </c>
      <c r="E57" s="7" t="s">
        <v>435</v>
      </c>
      <c r="F57" s="7" t="s">
        <v>436</v>
      </c>
      <c r="G57" s="7" t="s">
        <v>15</v>
      </c>
      <c r="H57" s="7" t="s">
        <v>15</v>
      </c>
      <c r="I57" s="21" t="s">
        <v>15</v>
      </c>
      <c r="J57" s="32" t="s">
        <v>434</v>
      </c>
      <c r="K57" s="7" t="s">
        <v>437</v>
      </c>
      <c r="L57" s="7" t="s">
        <v>438</v>
      </c>
      <c r="M57" s="7" t="s">
        <v>15</v>
      </c>
      <c r="N57" s="7" t="s">
        <v>15</v>
      </c>
      <c r="O57" s="21" t="s">
        <v>15</v>
      </c>
      <c r="P57" s="32" t="s">
        <v>434</v>
      </c>
      <c r="Q57" s="7" t="s">
        <v>15</v>
      </c>
      <c r="R57" s="7" t="s">
        <v>15</v>
      </c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32" t="s">
        <v>434</v>
      </c>
      <c r="AI57" s="7" t="s">
        <v>439</v>
      </c>
      <c r="AJ57" s="7" t="s">
        <v>440</v>
      </c>
      <c r="AK57" s="7" t="s">
        <v>15</v>
      </c>
      <c r="AL57" s="7" t="s">
        <v>15</v>
      </c>
      <c r="AM57" s="7" t="s">
        <v>15</v>
      </c>
      <c r="AN57" s="32" t="s">
        <v>434</v>
      </c>
      <c r="AO57" s="7" t="s">
        <v>15</v>
      </c>
      <c r="AP57" s="7" t="s">
        <v>15</v>
      </c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 t="s">
        <v>15</v>
      </c>
      <c r="BG57" s="7" t="s">
        <v>15</v>
      </c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  <c r="DE57" s="7"/>
      <c r="DF57" s="7"/>
      <c r="DG57" s="7"/>
      <c r="DH57" s="7"/>
      <c r="DI57" s="7"/>
      <c r="DJ57" s="7"/>
      <c r="DK57" s="7"/>
      <c r="DL57" s="7"/>
      <c r="DM57" s="7"/>
      <c r="DN57" s="7"/>
      <c r="DO57" s="7"/>
      <c r="DP57" s="7"/>
      <c r="DQ57" s="7"/>
      <c r="DR57" s="7"/>
      <c r="DS57" s="7"/>
      <c r="DT57" s="7"/>
      <c r="DU57" s="7"/>
      <c r="DV57" s="7"/>
      <c r="DW57" s="7"/>
      <c r="DX57" s="7"/>
      <c r="DY57" s="7"/>
      <c r="DZ57" s="7"/>
      <c r="EA57" s="7"/>
      <c r="EB57" s="7"/>
      <c r="EC57" s="7"/>
      <c r="ED57" s="7"/>
      <c r="EE57" s="7"/>
      <c r="EF57" s="7"/>
      <c r="EG57" s="7"/>
      <c r="EH57" s="7"/>
      <c r="EI57" s="7"/>
      <c r="EJ57" s="7"/>
      <c r="EK57" s="7"/>
      <c r="EL57" s="7"/>
      <c r="EM57" s="7"/>
      <c r="EN57" s="7"/>
      <c r="EO57" s="7"/>
      <c r="EP57" s="7"/>
      <c r="EQ57" s="7"/>
      <c r="ER57" s="7"/>
      <c r="ES57" s="7"/>
      <c r="ET57" s="7"/>
      <c r="EU57" s="7"/>
      <c r="EV57" s="7"/>
      <c r="EW57" s="7"/>
      <c r="EX57" s="7"/>
      <c r="EY57" s="7"/>
      <c r="EZ57" s="7"/>
      <c r="FA57" s="7"/>
      <c r="FB57" s="7"/>
      <c r="FC57" s="7"/>
    </row>
    <row r="58" spans="3:159" ht="26" x14ac:dyDescent="0.3">
      <c r="C58" s="4"/>
      <c r="D58" s="33" t="s">
        <v>441</v>
      </c>
      <c r="E58" s="7" t="s">
        <v>15</v>
      </c>
      <c r="F58" s="7" t="s">
        <v>15</v>
      </c>
      <c r="G58" s="7" t="s">
        <v>15</v>
      </c>
      <c r="H58" s="7" t="s">
        <v>15</v>
      </c>
      <c r="I58" s="21" t="s">
        <v>15</v>
      </c>
      <c r="J58" s="33" t="s">
        <v>441</v>
      </c>
      <c r="K58" s="7" t="s">
        <v>15</v>
      </c>
      <c r="L58" s="7" t="s">
        <v>15</v>
      </c>
      <c r="M58" s="7" t="s">
        <v>15</v>
      </c>
      <c r="N58" s="7" t="s">
        <v>15</v>
      </c>
      <c r="O58" s="21" t="s">
        <v>15</v>
      </c>
      <c r="P58" s="33" t="s">
        <v>441</v>
      </c>
      <c r="Q58" s="7" t="s">
        <v>15</v>
      </c>
      <c r="R58" s="7" t="s">
        <v>15</v>
      </c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33" t="s">
        <v>441</v>
      </c>
      <c r="AI58" s="7" t="s">
        <v>15</v>
      </c>
      <c r="AJ58" s="7" t="s">
        <v>15</v>
      </c>
      <c r="AK58" s="7" t="s">
        <v>15</v>
      </c>
      <c r="AL58" s="7" t="s">
        <v>15</v>
      </c>
      <c r="AM58" s="7" t="s">
        <v>15</v>
      </c>
      <c r="AN58" s="33" t="s">
        <v>441</v>
      </c>
      <c r="AO58" s="7" t="s">
        <v>15</v>
      </c>
      <c r="AP58" s="7" t="s">
        <v>15</v>
      </c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 t="s">
        <v>15</v>
      </c>
      <c r="BG58" s="7" t="s">
        <v>15</v>
      </c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s="7"/>
      <c r="EC58" s="7"/>
      <c r="ED58" s="7"/>
      <c r="EE58" s="7"/>
      <c r="EF58" s="7"/>
      <c r="EG58" s="7"/>
      <c r="EH58" s="7"/>
      <c r="EI58" s="7"/>
      <c r="EJ58" s="7"/>
      <c r="EK58" s="7"/>
      <c r="EL58" s="7"/>
      <c r="EM58" s="7"/>
      <c r="EN58" s="7"/>
      <c r="EO58" s="7"/>
      <c r="EP58" s="7"/>
      <c r="EQ58" s="7"/>
      <c r="ER58" s="7"/>
      <c r="ES58" s="7"/>
      <c r="ET58" s="7"/>
      <c r="EU58" s="7"/>
      <c r="EV58" s="7"/>
      <c r="EW58" s="7"/>
      <c r="EX58" s="7"/>
      <c r="EY58" s="7"/>
      <c r="EZ58" s="7"/>
      <c r="FA58" s="7"/>
      <c r="FB58" s="7"/>
      <c r="FC58" s="7"/>
    </row>
    <row r="59" spans="3:159" ht="26" x14ac:dyDescent="0.3">
      <c r="C59" s="4"/>
      <c r="D59" s="12" t="s">
        <v>15</v>
      </c>
      <c r="E59" s="7" t="s">
        <v>15</v>
      </c>
      <c r="F59" s="7" t="s">
        <v>15</v>
      </c>
      <c r="G59" s="7" t="s">
        <v>15</v>
      </c>
      <c r="H59" s="7" t="s">
        <v>15</v>
      </c>
      <c r="I59" s="21" t="s">
        <v>15</v>
      </c>
      <c r="J59" s="12" t="s">
        <v>15</v>
      </c>
      <c r="K59" s="7" t="s">
        <v>15</v>
      </c>
      <c r="L59" s="7" t="s">
        <v>15</v>
      </c>
      <c r="M59" s="7" t="s">
        <v>15</v>
      </c>
      <c r="N59" s="7" t="s">
        <v>15</v>
      </c>
      <c r="O59" s="21" t="s">
        <v>15</v>
      </c>
      <c r="P59" s="12" t="s">
        <v>15</v>
      </c>
      <c r="Q59" s="7" t="s">
        <v>15</v>
      </c>
      <c r="R59" s="7" t="s">
        <v>15</v>
      </c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12" t="s">
        <v>15</v>
      </c>
      <c r="AI59" s="7" t="s">
        <v>15</v>
      </c>
      <c r="AJ59" s="7" t="s">
        <v>15</v>
      </c>
      <c r="AK59" s="7" t="s">
        <v>15</v>
      </c>
      <c r="AL59" s="7" t="s">
        <v>15</v>
      </c>
      <c r="AM59" s="7" t="s">
        <v>15</v>
      </c>
      <c r="AN59" s="12" t="s">
        <v>15</v>
      </c>
      <c r="AO59" s="7" t="s">
        <v>15</v>
      </c>
      <c r="AP59" s="7" t="s">
        <v>15</v>
      </c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 t="s">
        <v>15</v>
      </c>
      <c r="BG59" s="7" t="s">
        <v>15</v>
      </c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7"/>
      <c r="DP59" s="7"/>
      <c r="DQ59" s="7"/>
      <c r="DR59" s="7"/>
      <c r="DS59" s="7"/>
      <c r="DT59" s="7"/>
      <c r="DU59" s="7"/>
      <c r="DV59" s="7"/>
      <c r="DW59" s="7"/>
      <c r="DX59" s="7"/>
      <c r="DY59" s="7"/>
      <c r="DZ59" s="7"/>
      <c r="EA59" s="7"/>
      <c r="EB59" s="7"/>
      <c r="EC59" s="7"/>
      <c r="ED59" s="7"/>
      <c r="EE59" s="7"/>
      <c r="EF59" s="7"/>
      <c r="EG59" s="7"/>
      <c r="EH59" s="7"/>
      <c r="EI59" s="7"/>
      <c r="EJ59" s="7"/>
      <c r="EK59" s="7"/>
      <c r="EL59" s="7"/>
      <c r="EM59" s="7"/>
      <c r="EN59" s="7"/>
      <c r="EO59" s="7"/>
      <c r="EP59" s="7"/>
      <c r="EQ59" s="7"/>
      <c r="ER59" s="7"/>
      <c r="ES59" s="7"/>
      <c r="ET59" s="7"/>
      <c r="EU59" s="7"/>
      <c r="EV59" s="7"/>
      <c r="EW59" s="7"/>
      <c r="EX59" s="7"/>
      <c r="EY59" s="7"/>
      <c r="EZ59" s="7"/>
      <c r="FA59" s="7"/>
      <c r="FB59" s="7"/>
      <c r="FC59" s="7"/>
    </row>
    <row r="60" spans="3:159" ht="26" x14ac:dyDescent="0.3">
      <c r="C60" s="4"/>
      <c r="D60" s="34">
        <v>8</v>
      </c>
      <c r="E60" s="7" t="s">
        <v>442</v>
      </c>
      <c r="F60" s="7" t="s">
        <v>443</v>
      </c>
      <c r="G60" s="7" t="s">
        <v>15</v>
      </c>
      <c r="H60" s="7" t="s">
        <v>15</v>
      </c>
      <c r="I60" s="21" t="s">
        <v>15</v>
      </c>
      <c r="J60" s="34">
        <v>8</v>
      </c>
      <c r="K60" s="7" t="s">
        <v>444</v>
      </c>
      <c r="L60" s="7" t="s">
        <v>445</v>
      </c>
      <c r="M60" s="7" t="s">
        <v>15</v>
      </c>
      <c r="N60" s="7" t="s">
        <v>15</v>
      </c>
      <c r="O60" s="21" t="s">
        <v>15</v>
      </c>
      <c r="P60" s="34">
        <v>8</v>
      </c>
      <c r="Q60" s="7">
        <v>6.5856999999999999E-2</v>
      </c>
      <c r="R60" s="7">
        <v>3.9933000000000003E-2</v>
      </c>
      <c r="S60" s="7">
        <v>0.94912700000000005</v>
      </c>
      <c r="T60" s="7">
        <v>0.95001000000000002</v>
      </c>
      <c r="U60" s="7">
        <v>0.98068100000000002</v>
      </c>
      <c r="V60" s="7">
        <v>115.23826200000001</v>
      </c>
      <c r="W60" s="7">
        <v>105.9455</v>
      </c>
      <c r="X60" s="7">
        <v>14.893072999999999</v>
      </c>
      <c r="Y60" s="7">
        <v>29.820588999999998</v>
      </c>
      <c r="Z60" s="7">
        <v>30.113828999999999</v>
      </c>
      <c r="AA60" s="7">
        <v>37.118144000000001</v>
      </c>
      <c r="AB60" s="7">
        <f t="shared" ref="AB60:AB67" si="48">U60/T60</f>
        <v>1.0322849233165967</v>
      </c>
      <c r="AC60" s="7">
        <f t="shared" ref="AC60:AC67" si="49">AA60/Z60</f>
        <v>1.2325946328512394</v>
      </c>
      <c r="AD60" s="7">
        <f t="shared" ref="AD60:AD67" si="50">X60/W60</f>
        <v>0.14057296440150832</v>
      </c>
      <c r="AE60" s="7">
        <f t="shared" ref="AE60:AE67" si="51">(U60-S60)/(1-S60)</f>
        <v>0.62025042753523485</v>
      </c>
      <c r="AF60" s="7">
        <f t="shared" ref="AF60:AF67" si="52">(AA60-Y60)/(100-Y60)</f>
        <v>0.10398427253828053</v>
      </c>
      <c r="AG60" s="7">
        <f t="shared" ref="AG60:AG67" si="53">(V60-X60)/V60</f>
        <v>0.87076277668956859</v>
      </c>
      <c r="AH60" s="34">
        <v>8</v>
      </c>
      <c r="AI60" s="7" t="s">
        <v>384</v>
      </c>
      <c r="AJ60" s="7" t="s">
        <v>446</v>
      </c>
      <c r="AL60" s="7" t="s">
        <v>15</v>
      </c>
      <c r="AM60" s="7" t="s">
        <v>15</v>
      </c>
      <c r="AN60" s="34">
        <v>8</v>
      </c>
      <c r="AO60" s="7">
        <v>9.4369999999999996E-2</v>
      </c>
      <c r="AP60" s="7">
        <v>5.4681E-2</v>
      </c>
      <c r="AQ60" s="7">
        <v>0.95341299999999995</v>
      </c>
      <c r="AR60" s="7">
        <v>0.95589500000000005</v>
      </c>
      <c r="AS60" s="7">
        <v>0.98152399999999995</v>
      </c>
      <c r="AT60" s="7">
        <v>218.211623</v>
      </c>
      <c r="AU60" s="7">
        <v>205.84672800000001</v>
      </c>
      <c r="AV60" s="7">
        <v>13.222861</v>
      </c>
      <c r="AW60" s="7">
        <v>35.649062000000001</v>
      </c>
      <c r="AX60" s="7">
        <v>34.595975000000003</v>
      </c>
      <c r="AY60" s="7">
        <v>39.467416999999998</v>
      </c>
      <c r="AZ60" s="7">
        <f t="shared" ref="AZ60:AZ67" si="54">AS60/AR60</f>
        <v>1.0268115221860141</v>
      </c>
      <c r="BA60" s="7">
        <f t="shared" ref="BA60:BA67" si="55">AY60/AX60</f>
        <v>1.1408095016833604</v>
      </c>
      <c r="BB60" s="7">
        <f t="shared" ref="BB60:BB67" si="56">AV60/AU60</f>
        <v>6.4236440037074571E-2</v>
      </c>
      <c r="BC60" s="7">
        <f t="shared" ref="BC60:BC67" si="57">(AS60-AQ60)/(1-AQ60)</f>
        <v>0.60340867624015215</v>
      </c>
      <c r="BD60" s="7">
        <f t="shared" ref="BD60:BD67" si="58">(AY60-AW60)/(100-AW60)</f>
        <v>5.9336431117756154E-2</v>
      </c>
      <c r="BE60" s="7">
        <f t="shared" ref="BE60:BE67" si="59">(AT60-AV60)/AT60</f>
        <v>0.93940349822703995</v>
      </c>
      <c r="BF60" s="7" t="s">
        <v>15</v>
      </c>
      <c r="BG60" s="7" t="s">
        <v>15</v>
      </c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7"/>
      <c r="EC60" s="7"/>
      <c r="ED60" s="7"/>
      <c r="EE60" s="7"/>
      <c r="EF60" s="7"/>
      <c r="EG60" s="7"/>
      <c r="EH60" s="7"/>
      <c r="EI60" s="7"/>
      <c r="EJ60" s="7"/>
      <c r="EK60" s="7"/>
      <c r="EL60" s="7"/>
      <c r="EM60" s="7"/>
      <c r="EN60" s="7"/>
      <c r="EO60" s="7"/>
      <c r="EP60" s="7"/>
      <c r="EQ60" s="7"/>
      <c r="ER60" s="7"/>
      <c r="ES60" s="7"/>
      <c r="ET60" s="7"/>
      <c r="EU60" s="7"/>
      <c r="EV60" s="7"/>
      <c r="EW60" s="7"/>
      <c r="EX60" s="7"/>
      <c r="EY60" s="7"/>
      <c r="EZ60" s="7"/>
      <c r="FA60" s="7"/>
      <c r="FB60" s="7"/>
      <c r="FC60" s="7"/>
    </row>
    <row r="61" spans="3:159" ht="26" x14ac:dyDescent="0.3">
      <c r="C61" s="4"/>
      <c r="D61" s="35">
        <v>16</v>
      </c>
      <c r="E61" s="7" t="s">
        <v>447</v>
      </c>
      <c r="F61" s="7" t="s">
        <v>448</v>
      </c>
      <c r="G61" s="7" t="s">
        <v>15</v>
      </c>
      <c r="H61" s="7" t="s">
        <v>15</v>
      </c>
      <c r="I61" s="21" t="s">
        <v>15</v>
      </c>
      <c r="J61" s="35">
        <v>16</v>
      </c>
      <c r="K61" s="7" t="s">
        <v>449</v>
      </c>
      <c r="L61" s="7" t="s">
        <v>450</v>
      </c>
      <c r="M61" s="7" t="s">
        <v>15</v>
      </c>
      <c r="N61" s="7" t="s">
        <v>15</v>
      </c>
      <c r="O61" s="21" t="s">
        <v>15</v>
      </c>
      <c r="P61" s="35">
        <v>16</v>
      </c>
      <c r="Q61" s="7">
        <v>5.7169999999999999E-2</v>
      </c>
      <c r="R61" s="7">
        <v>3.1019000000000001E-2</v>
      </c>
      <c r="S61" s="7">
        <v>0.94912700000000005</v>
      </c>
      <c r="T61" s="7">
        <v>0.95054499999999997</v>
      </c>
      <c r="U61" s="7">
        <v>0.98112500000000002</v>
      </c>
      <c r="V61" s="7">
        <v>115.23826200000001</v>
      </c>
      <c r="W61" s="7">
        <v>104.544539</v>
      </c>
      <c r="X61" s="7">
        <v>14.519047</v>
      </c>
      <c r="Y61" s="7">
        <v>29.820588999999998</v>
      </c>
      <c r="Z61" s="7">
        <v>30.180978</v>
      </c>
      <c r="AA61" s="7">
        <v>37.195748999999999</v>
      </c>
      <c r="AB61" s="7">
        <f t="shared" si="48"/>
        <v>1.0321710176793313</v>
      </c>
      <c r="AC61" s="7">
        <f t="shared" si="49"/>
        <v>1.2324235815022297</v>
      </c>
      <c r="AD61" s="7">
        <f t="shared" si="50"/>
        <v>0.13887905708781212</v>
      </c>
      <c r="AE61" s="7">
        <f t="shared" si="51"/>
        <v>0.6289780433628841</v>
      </c>
      <c r="AF61" s="7">
        <f t="shared" si="52"/>
        <v>0.10509008119204649</v>
      </c>
      <c r="AG61" s="7">
        <f t="shared" si="53"/>
        <v>0.8740084521580167</v>
      </c>
      <c r="AH61" s="35">
        <v>16</v>
      </c>
      <c r="AI61" s="7" t="s">
        <v>451</v>
      </c>
      <c r="AJ61" s="7" t="s">
        <v>452</v>
      </c>
      <c r="AL61" s="7" t="s">
        <v>15</v>
      </c>
      <c r="AM61" s="7" t="s">
        <v>15</v>
      </c>
      <c r="AN61" s="35">
        <v>16</v>
      </c>
      <c r="AO61" s="7">
        <v>8.6736999999999995E-2</v>
      </c>
      <c r="AP61" s="7">
        <v>5.1581000000000002E-2</v>
      </c>
      <c r="AQ61" s="7">
        <v>0.95341299999999995</v>
      </c>
      <c r="AR61" s="7">
        <v>0.95610099999999998</v>
      </c>
      <c r="AS61" s="7">
        <v>0.98209500000000005</v>
      </c>
      <c r="AT61" s="7">
        <v>218.211623</v>
      </c>
      <c r="AU61" s="7">
        <v>206.947641</v>
      </c>
      <c r="AV61" s="7">
        <v>12.950619</v>
      </c>
      <c r="AW61" s="7">
        <v>35.649062000000001</v>
      </c>
      <c r="AX61" s="7">
        <v>34.366461000000001</v>
      </c>
      <c r="AY61" s="7">
        <v>39.361925999999997</v>
      </c>
      <c r="AZ61" s="7">
        <f t="shared" si="54"/>
        <v>1.0271875042490282</v>
      </c>
      <c r="BA61" s="7">
        <f t="shared" si="55"/>
        <v>1.145358726346597</v>
      </c>
      <c r="BB61" s="7">
        <f t="shared" si="56"/>
        <v>6.2579205722862047E-2</v>
      </c>
      <c r="BC61" s="7">
        <f t="shared" si="57"/>
        <v>0.61566531435808425</v>
      </c>
      <c r="BD61" s="7">
        <f t="shared" si="58"/>
        <v>5.7697123233852413E-2</v>
      </c>
      <c r="BE61" s="7">
        <f t="shared" si="59"/>
        <v>0.94065110363071724</v>
      </c>
      <c r="BF61" s="7" t="s">
        <v>15</v>
      </c>
      <c r="BG61" s="7" t="s">
        <v>15</v>
      </c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  <c r="DP61" s="7"/>
      <c r="DQ61" s="7"/>
      <c r="DR61" s="7"/>
      <c r="DS61" s="7"/>
      <c r="DT61" s="7"/>
      <c r="DU61" s="7"/>
      <c r="DV61" s="7"/>
      <c r="DW61" s="7"/>
      <c r="DX61" s="7"/>
      <c r="DY61" s="7"/>
      <c r="DZ61" s="7"/>
      <c r="EA61" s="7"/>
      <c r="EB61" s="7"/>
      <c r="EC61" s="7"/>
      <c r="ED61" s="7"/>
      <c r="EE61" s="7"/>
      <c r="EF61" s="7"/>
      <c r="EG61" s="7"/>
      <c r="EH61" s="7"/>
      <c r="EI61" s="7"/>
      <c r="EJ61" s="7"/>
      <c r="EK61" s="7"/>
      <c r="EL61" s="7"/>
      <c r="EM61" s="7"/>
      <c r="EN61" s="7"/>
      <c r="EO61" s="7"/>
      <c r="EP61" s="7"/>
      <c r="EQ61" s="7"/>
      <c r="ER61" s="7"/>
      <c r="ES61" s="7"/>
      <c r="ET61" s="7"/>
      <c r="EU61" s="7"/>
      <c r="EV61" s="7"/>
      <c r="EW61" s="7"/>
      <c r="EX61" s="7"/>
      <c r="EY61" s="7"/>
      <c r="EZ61" s="7"/>
      <c r="FA61" s="7"/>
      <c r="FB61" s="7"/>
      <c r="FC61" s="7"/>
    </row>
    <row r="62" spans="3:159" ht="26" x14ac:dyDescent="0.3">
      <c r="C62" s="4"/>
      <c r="D62" s="35">
        <v>32</v>
      </c>
      <c r="E62" s="7" t="s">
        <v>453</v>
      </c>
      <c r="F62" s="7" t="s">
        <v>454</v>
      </c>
      <c r="G62" s="7" t="s">
        <v>15</v>
      </c>
      <c r="H62" s="7" t="s">
        <v>15</v>
      </c>
      <c r="I62" s="21" t="s">
        <v>15</v>
      </c>
      <c r="J62" s="35">
        <v>32</v>
      </c>
      <c r="K62" s="7" t="s">
        <v>455</v>
      </c>
      <c r="L62" s="7" t="s">
        <v>456</v>
      </c>
      <c r="M62" s="7" t="s">
        <v>15</v>
      </c>
      <c r="N62" s="7" t="s">
        <v>15</v>
      </c>
      <c r="O62" s="21" t="s">
        <v>15</v>
      </c>
      <c r="P62" s="35">
        <v>32</v>
      </c>
      <c r="Q62" s="7">
        <v>5.4544000000000002E-2</v>
      </c>
      <c r="R62" s="7">
        <v>2.9423999999999999E-2</v>
      </c>
      <c r="S62" s="7">
        <v>0.94912700000000005</v>
      </c>
      <c r="T62" s="7">
        <v>0.95207900000000001</v>
      </c>
      <c r="U62" s="7">
        <v>0.98121999999999998</v>
      </c>
      <c r="V62" s="7">
        <v>115.23826200000001</v>
      </c>
      <c r="W62" s="7">
        <v>101.339566</v>
      </c>
      <c r="X62" s="7">
        <v>14.448394</v>
      </c>
      <c r="Y62" s="7">
        <v>29.820588999999998</v>
      </c>
      <c r="Z62" s="7">
        <v>30.453182999999999</v>
      </c>
      <c r="AA62" s="7">
        <v>37.208077000000003</v>
      </c>
      <c r="AB62" s="7">
        <f t="shared" si="48"/>
        <v>1.0306077541884655</v>
      </c>
      <c r="AC62" s="7">
        <f t="shared" si="49"/>
        <v>1.2218124128436756</v>
      </c>
      <c r="AD62" s="7">
        <f t="shared" si="50"/>
        <v>0.14257406628325209</v>
      </c>
      <c r="AE62" s="7">
        <f t="shared" si="51"/>
        <v>0.6308454386413217</v>
      </c>
      <c r="AF62" s="7">
        <f t="shared" si="52"/>
        <v>0.10526574524827523</v>
      </c>
      <c r="AG62" s="7">
        <f t="shared" si="53"/>
        <v>0.87462155581624446</v>
      </c>
      <c r="AH62" s="35">
        <v>32</v>
      </c>
      <c r="AI62" s="7" t="s">
        <v>457</v>
      </c>
      <c r="AJ62" s="7" t="s">
        <v>458</v>
      </c>
      <c r="AL62" s="7" t="s">
        <v>15</v>
      </c>
      <c r="AM62" s="7" t="s">
        <v>15</v>
      </c>
      <c r="AN62" s="35">
        <v>32</v>
      </c>
      <c r="AO62" s="7">
        <v>8.4877999999999995E-2</v>
      </c>
      <c r="AP62" s="7">
        <v>5.0278999999999997E-2</v>
      </c>
      <c r="AQ62" s="7">
        <v>0.95341299999999995</v>
      </c>
      <c r="AR62" s="7">
        <v>0.95655599999999996</v>
      </c>
      <c r="AS62" s="7">
        <v>0.98234999999999995</v>
      </c>
      <c r="AT62" s="7">
        <v>218.211623</v>
      </c>
      <c r="AU62" s="7">
        <v>206.277728</v>
      </c>
      <c r="AV62" s="7">
        <v>12.690149</v>
      </c>
      <c r="AW62" s="7">
        <v>35.649062000000001</v>
      </c>
      <c r="AX62" s="7">
        <v>34.395845000000001</v>
      </c>
      <c r="AY62" s="7">
        <v>39.438256000000003</v>
      </c>
      <c r="AZ62" s="7">
        <f t="shared" si="54"/>
        <v>1.0269654886906778</v>
      </c>
      <c r="BA62" s="7">
        <f t="shared" si="55"/>
        <v>1.1465994221104323</v>
      </c>
      <c r="BB62" s="7">
        <f t="shared" si="56"/>
        <v>6.1519724514320813E-2</v>
      </c>
      <c r="BC62" s="7">
        <f t="shared" si="57"/>
        <v>0.62113894434069505</v>
      </c>
      <c r="BD62" s="7">
        <f t="shared" si="58"/>
        <v>5.8883275330034845E-2</v>
      </c>
      <c r="BE62" s="7">
        <f t="shared" si="59"/>
        <v>0.94184476140393314</v>
      </c>
      <c r="BF62" s="7" t="s">
        <v>15</v>
      </c>
      <c r="BG62" s="7" t="s">
        <v>15</v>
      </c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  <c r="EC62" s="7"/>
      <c r="ED62" s="7"/>
      <c r="EE62" s="7"/>
      <c r="EF62" s="7"/>
      <c r="EG62" s="7"/>
      <c r="EH62" s="7"/>
      <c r="EI62" s="7"/>
      <c r="EJ62" s="7"/>
      <c r="EK62" s="7"/>
      <c r="EL62" s="7"/>
      <c r="EM62" s="7"/>
      <c r="EN62" s="7"/>
      <c r="EO62" s="7"/>
      <c r="EP62" s="7"/>
      <c r="EQ62" s="7"/>
      <c r="ER62" s="7"/>
      <c r="ES62" s="7"/>
      <c r="ET62" s="7"/>
      <c r="EU62" s="7"/>
      <c r="EV62" s="7"/>
      <c r="EW62" s="7"/>
      <c r="EX62" s="7"/>
      <c r="EY62" s="7"/>
      <c r="EZ62" s="7"/>
      <c r="FA62" s="7"/>
      <c r="FB62" s="7"/>
      <c r="FC62" s="7"/>
    </row>
    <row r="63" spans="3:159" ht="26" x14ac:dyDescent="0.3">
      <c r="C63" s="4"/>
      <c r="D63" s="35">
        <v>64</v>
      </c>
      <c r="E63" s="7" t="s">
        <v>459</v>
      </c>
      <c r="F63" s="7" t="s">
        <v>460</v>
      </c>
      <c r="G63" s="7" t="s">
        <v>15</v>
      </c>
      <c r="H63" s="7" t="s">
        <v>15</v>
      </c>
      <c r="I63" s="21" t="s">
        <v>15</v>
      </c>
      <c r="J63" s="35">
        <v>64</v>
      </c>
      <c r="K63" s="7" t="s">
        <v>461</v>
      </c>
      <c r="L63" s="7" t="s">
        <v>462</v>
      </c>
      <c r="M63" s="7" t="s">
        <v>15</v>
      </c>
      <c r="N63" s="7" t="s">
        <v>15</v>
      </c>
      <c r="O63" s="21" t="s">
        <v>15</v>
      </c>
      <c r="P63" s="35">
        <v>64</v>
      </c>
      <c r="Q63" s="7">
        <v>5.4427000000000003E-2</v>
      </c>
      <c r="R63" s="7">
        <v>2.8811E-2</v>
      </c>
      <c r="S63" s="7">
        <v>0.94912700000000005</v>
      </c>
      <c r="T63" s="7">
        <v>0.95147099999999996</v>
      </c>
      <c r="U63" s="7">
        <v>0.98092699999999999</v>
      </c>
      <c r="V63" s="7">
        <v>115.23826200000001</v>
      </c>
      <c r="W63" s="7">
        <v>101.533456</v>
      </c>
      <c r="X63" s="7">
        <v>14.633855000000001</v>
      </c>
      <c r="Y63" s="7">
        <v>29.820588999999998</v>
      </c>
      <c r="Z63" s="7">
        <v>30.369387</v>
      </c>
      <c r="AA63" s="7">
        <v>37.160454999999999</v>
      </c>
      <c r="AB63" s="7">
        <f t="shared" si="48"/>
        <v>1.0309583791833907</v>
      </c>
      <c r="AC63" s="7">
        <f t="shared" si="49"/>
        <v>1.223615577094131</v>
      </c>
      <c r="AD63" s="7">
        <f t="shared" si="50"/>
        <v>0.14412840433600527</v>
      </c>
      <c r="AE63" s="7">
        <f t="shared" si="51"/>
        <v>0.62508599846676971</v>
      </c>
      <c r="AF63" s="7">
        <f t="shared" si="52"/>
        <v>0.10458717016020554</v>
      </c>
      <c r="AG63" s="7">
        <f t="shared" si="53"/>
        <v>0.87301218583112616</v>
      </c>
      <c r="AH63" s="35">
        <v>64</v>
      </c>
      <c r="AI63" s="7" t="s">
        <v>463</v>
      </c>
      <c r="AJ63" s="7" t="s">
        <v>464</v>
      </c>
      <c r="AL63" s="7" t="s">
        <v>15</v>
      </c>
      <c r="AM63" s="7" t="s">
        <v>15</v>
      </c>
      <c r="AN63" s="35">
        <v>64</v>
      </c>
      <c r="AO63" s="7">
        <v>8.3075999999999997E-2</v>
      </c>
      <c r="AP63" s="7">
        <v>4.6942999999999999E-2</v>
      </c>
      <c r="AQ63" s="7">
        <v>0.95341299999999995</v>
      </c>
      <c r="AR63" s="7">
        <v>0.95600200000000002</v>
      </c>
      <c r="AS63" s="7">
        <v>0.98222299999999996</v>
      </c>
      <c r="AT63" s="7">
        <v>218.211623</v>
      </c>
      <c r="AU63" s="7">
        <v>208.91802200000001</v>
      </c>
      <c r="AV63" s="7">
        <v>12.788138999999999</v>
      </c>
      <c r="AW63" s="7">
        <v>35.649062000000001</v>
      </c>
      <c r="AX63" s="7">
        <v>34.257429000000002</v>
      </c>
      <c r="AY63" s="7">
        <v>39.305512999999998</v>
      </c>
      <c r="AZ63" s="7">
        <f t="shared" si="54"/>
        <v>1.0274277668875169</v>
      </c>
      <c r="BA63" s="7">
        <f t="shared" si="55"/>
        <v>1.1473573513061939</v>
      </c>
      <c r="BB63" s="7">
        <f t="shared" si="56"/>
        <v>6.1211277407173609E-2</v>
      </c>
      <c r="BC63" s="7">
        <f t="shared" si="57"/>
        <v>0.6184128619571978</v>
      </c>
      <c r="BD63" s="7">
        <f t="shared" si="58"/>
        <v>5.6820477115655986E-2</v>
      </c>
      <c r="BE63" s="7">
        <f t="shared" si="59"/>
        <v>0.94139570191455846</v>
      </c>
      <c r="BF63" s="7" t="s">
        <v>15</v>
      </c>
      <c r="BG63" s="7" t="s">
        <v>15</v>
      </c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  <c r="EC63" s="7"/>
      <c r="ED63" s="7"/>
      <c r="EE63" s="7"/>
      <c r="EF63" s="7"/>
      <c r="EG63" s="7"/>
      <c r="EH63" s="7"/>
      <c r="EI63" s="7"/>
      <c r="EJ63" s="7"/>
      <c r="EK63" s="7"/>
      <c r="EL63" s="7"/>
      <c r="EM63" s="7"/>
      <c r="EN63" s="7"/>
      <c r="EO63" s="7"/>
      <c r="EP63" s="7"/>
      <c r="EQ63" s="7"/>
      <c r="ER63" s="7"/>
      <c r="ES63" s="7"/>
      <c r="ET63" s="7"/>
      <c r="EU63" s="7"/>
      <c r="EV63" s="7"/>
      <c r="EW63" s="7"/>
      <c r="EX63" s="7"/>
      <c r="EY63" s="7"/>
      <c r="EZ63" s="7"/>
      <c r="FA63" s="7"/>
      <c r="FB63" s="7"/>
      <c r="FC63" s="7"/>
    </row>
    <row r="64" spans="3:159" ht="26" x14ac:dyDescent="0.3">
      <c r="C64" s="4"/>
      <c r="D64" s="35">
        <v>128</v>
      </c>
      <c r="E64" s="7" t="s">
        <v>465</v>
      </c>
      <c r="F64" s="7" t="s">
        <v>466</v>
      </c>
      <c r="G64" s="7" t="s">
        <v>15</v>
      </c>
      <c r="H64" s="7" t="s">
        <v>15</v>
      </c>
      <c r="I64" s="21" t="s">
        <v>15</v>
      </c>
      <c r="J64" s="35">
        <v>128</v>
      </c>
      <c r="K64" s="7" t="s">
        <v>467</v>
      </c>
      <c r="L64" s="7" t="s">
        <v>468</v>
      </c>
      <c r="M64" s="7" t="s">
        <v>15</v>
      </c>
      <c r="N64" s="7" t="s">
        <v>15</v>
      </c>
      <c r="O64" s="21" t="s">
        <v>15</v>
      </c>
      <c r="P64" s="35">
        <v>128</v>
      </c>
      <c r="Q64" s="7">
        <v>5.1256000000000003E-2</v>
      </c>
      <c r="R64" s="7">
        <v>2.6998000000000001E-2</v>
      </c>
      <c r="S64" s="7">
        <v>0.94912700000000005</v>
      </c>
      <c r="T64" s="7">
        <v>0.95063500000000001</v>
      </c>
      <c r="U64" s="7">
        <v>0.98071200000000003</v>
      </c>
      <c r="V64" s="7">
        <v>115.23826200000001</v>
      </c>
      <c r="W64" s="7">
        <v>103.507475</v>
      </c>
      <c r="X64" s="7">
        <v>14.535252</v>
      </c>
      <c r="Y64" s="7">
        <v>29.820588999999998</v>
      </c>
      <c r="Z64" s="7">
        <v>30.252199999999998</v>
      </c>
      <c r="AA64" s="7">
        <v>37.151769000000002</v>
      </c>
      <c r="AB64" s="7">
        <f t="shared" si="48"/>
        <v>1.0316388519252921</v>
      </c>
      <c r="AC64" s="7">
        <f t="shared" si="49"/>
        <v>1.2280683388315561</v>
      </c>
      <c r="AD64" s="7">
        <f t="shared" si="50"/>
        <v>0.1404270754358562</v>
      </c>
      <c r="AE64" s="7">
        <f t="shared" si="51"/>
        <v>0.62085978809977804</v>
      </c>
      <c r="AF64" s="7">
        <f t="shared" si="52"/>
        <v>0.10446340166633777</v>
      </c>
      <c r="AG64" s="7">
        <f t="shared" si="53"/>
        <v>0.87386783046068506</v>
      </c>
      <c r="AH64" s="35">
        <v>128</v>
      </c>
      <c r="AI64" s="7" t="s">
        <v>469</v>
      </c>
      <c r="AJ64" s="7" t="s">
        <v>470</v>
      </c>
      <c r="AL64" s="7" t="s">
        <v>15</v>
      </c>
      <c r="AM64" s="7" t="s">
        <v>15</v>
      </c>
      <c r="AN64" s="35">
        <v>128</v>
      </c>
      <c r="AO64" s="7">
        <v>8.0887000000000001E-2</v>
      </c>
      <c r="AP64" s="7">
        <v>4.5666999999999999E-2</v>
      </c>
      <c r="AQ64" s="7">
        <v>0.95341299999999995</v>
      </c>
      <c r="AR64" s="7">
        <v>0.95605899999999999</v>
      </c>
      <c r="AS64" s="7">
        <v>0.98213200000000001</v>
      </c>
      <c r="AT64" s="7">
        <v>218.211623</v>
      </c>
      <c r="AU64" s="7">
        <v>206.795964</v>
      </c>
      <c r="AV64" s="7">
        <v>12.537342000000001</v>
      </c>
      <c r="AW64" s="7">
        <v>35.649062000000001</v>
      </c>
      <c r="AX64" s="7">
        <v>34.249841000000004</v>
      </c>
      <c r="AY64" s="7">
        <v>39.417647000000002</v>
      </c>
      <c r="AZ64" s="7">
        <f t="shared" si="54"/>
        <v>1.0272713294890796</v>
      </c>
      <c r="BA64" s="7">
        <f t="shared" si="55"/>
        <v>1.1508855471767008</v>
      </c>
      <c r="BB64" s="7">
        <f t="shared" si="56"/>
        <v>6.062662809028517E-2</v>
      </c>
      <c r="BC64" s="7">
        <f t="shared" si="57"/>
        <v>0.61645952733595255</v>
      </c>
      <c r="BD64" s="7">
        <f t="shared" si="58"/>
        <v>5.856301581804451E-2</v>
      </c>
      <c r="BE64" s="7">
        <f t="shared" si="59"/>
        <v>0.94254503115995802</v>
      </c>
      <c r="BF64" s="7" t="s">
        <v>15</v>
      </c>
      <c r="BG64" s="7" t="s">
        <v>15</v>
      </c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7"/>
      <c r="DS64" s="7"/>
      <c r="DT64" s="7"/>
      <c r="DU64" s="7"/>
      <c r="DV64" s="7"/>
      <c r="DW64" s="7"/>
      <c r="DX64" s="7"/>
      <c r="DY64" s="7"/>
      <c r="DZ64" s="7"/>
      <c r="EA64" s="7"/>
      <c r="EB64" s="7"/>
      <c r="EC64" s="7"/>
      <c r="ED64" s="7"/>
      <c r="EE64" s="7"/>
      <c r="EF64" s="7"/>
      <c r="EG64" s="7"/>
      <c r="EH64" s="7"/>
      <c r="EI64" s="7"/>
      <c r="EJ64" s="7"/>
      <c r="EK64" s="7"/>
      <c r="EL64" s="7"/>
      <c r="EM64" s="7"/>
      <c r="EN64" s="7"/>
      <c r="EO64" s="7"/>
      <c r="EP64" s="7"/>
      <c r="EQ64" s="7"/>
      <c r="ER64" s="7"/>
      <c r="ES64" s="7"/>
      <c r="ET64" s="7"/>
      <c r="EU64" s="7"/>
      <c r="EV64" s="7"/>
      <c r="EW64" s="7"/>
      <c r="EX64" s="7"/>
      <c r="EY64" s="7"/>
      <c r="EZ64" s="7"/>
      <c r="FA64" s="7"/>
      <c r="FB64" s="7"/>
      <c r="FC64" s="7"/>
    </row>
    <row r="65" spans="3:159" ht="26" x14ac:dyDescent="0.3">
      <c r="C65" s="4"/>
      <c r="D65" s="35">
        <v>256</v>
      </c>
      <c r="E65" s="7" t="s">
        <v>471</v>
      </c>
      <c r="F65" s="7" t="s">
        <v>472</v>
      </c>
      <c r="G65" s="7" t="s">
        <v>15</v>
      </c>
      <c r="H65" s="7" t="s">
        <v>15</v>
      </c>
      <c r="I65" s="21" t="s">
        <v>15</v>
      </c>
      <c r="J65" s="35">
        <v>256</v>
      </c>
      <c r="K65" s="7" t="s">
        <v>473</v>
      </c>
      <c r="L65" s="7" t="s">
        <v>474</v>
      </c>
      <c r="M65" s="7" t="s">
        <v>15</v>
      </c>
      <c r="N65" s="7" t="s">
        <v>15</v>
      </c>
      <c r="O65" s="21" t="s">
        <v>15</v>
      </c>
      <c r="P65" s="35">
        <v>256</v>
      </c>
      <c r="Q65" s="7">
        <v>4.7323999999999998E-2</v>
      </c>
      <c r="R65" s="7">
        <v>2.5679E-2</v>
      </c>
      <c r="S65" s="7">
        <v>0.94912700000000005</v>
      </c>
      <c r="T65" s="7">
        <v>0.94945100000000004</v>
      </c>
      <c r="U65" s="7">
        <v>0.98025700000000004</v>
      </c>
      <c r="V65" s="7">
        <v>115.23826200000001</v>
      </c>
      <c r="W65" s="7">
        <v>107.34555</v>
      </c>
      <c r="X65" s="7">
        <v>15.820364</v>
      </c>
      <c r="Y65" s="7">
        <v>29.820588999999998</v>
      </c>
      <c r="Z65" s="7">
        <v>29.962778</v>
      </c>
      <c r="AA65" s="7">
        <v>36.643973000000003</v>
      </c>
      <c r="AB65" s="7">
        <f t="shared" si="48"/>
        <v>1.0324461188623741</v>
      </c>
      <c r="AC65" s="7">
        <f t="shared" si="49"/>
        <v>1.2229831626426628</v>
      </c>
      <c r="AD65" s="7">
        <f t="shared" si="50"/>
        <v>0.14737792111550035</v>
      </c>
      <c r="AE65" s="7">
        <f t="shared" si="51"/>
        <v>0.61191594755567835</v>
      </c>
      <c r="AF65" s="7">
        <f t="shared" si="52"/>
        <v>9.7227718254859735E-2</v>
      </c>
      <c r="AG65" s="7">
        <f t="shared" si="53"/>
        <v>0.86271604825140458</v>
      </c>
      <c r="AH65" s="35">
        <v>256</v>
      </c>
      <c r="AI65" s="7" t="s">
        <v>475</v>
      </c>
      <c r="AJ65" s="7" t="s">
        <v>476</v>
      </c>
      <c r="AL65" s="7" t="s">
        <v>15</v>
      </c>
      <c r="AM65" s="7" t="s">
        <v>15</v>
      </c>
      <c r="AN65" s="35">
        <v>256</v>
      </c>
      <c r="AO65" s="7">
        <v>7.1985999999999994E-2</v>
      </c>
      <c r="AP65" s="7">
        <v>4.0441999999999999E-2</v>
      </c>
      <c r="AQ65" s="7">
        <v>0.95341299999999995</v>
      </c>
      <c r="AR65" s="7">
        <v>0.95557400000000003</v>
      </c>
      <c r="AS65" s="7">
        <v>0.981846</v>
      </c>
      <c r="AT65" s="7">
        <v>218.211623</v>
      </c>
      <c r="AU65" s="7">
        <v>210.27896699999999</v>
      </c>
      <c r="AV65" s="7">
        <v>13.157905</v>
      </c>
      <c r="AW65" s="7">
        <v>35.649062000000001</v>
      </c>
      <c r="AX65" s="7">
        <v>33.935943999999999</v>
      </c>
      <c r="AY65" s="7">
        <v>39.014220000000002</v>
      </c>
      <c r="AZ65" s="7">
        <f t="shared" si="54"/>
        <v>1.0274934228013739</v>
      </c>
      <c r="BA65" s="7">
        <f t="shared" si="55"/>
        <v>1.1496429862095483</v>
      </c>
      <c r="BB65" s="7">
        <f t="shared" si="56"/>
        <v>6.2573566856070767E-2</v>
      </c>
      <c r="BC65" s="7">
        <f t="shared" si="57"/>
        <v>0.61032047566917835</v>
      </c>
      <c r="BD65" s="7">
        <f t="shared" si="58"/>
        <v>5.2293845351562722E-2</v>
      </c>
      <c r="BE65" s="7">
        <f t="shared" si="59"/>
        <v>0.93970117256311325</v>
      </c>
      <c r="BF65" s="7" t="s">
        <v>15</v>
      </c>
      <c r="BG65" s="7" t="s">
        <v>15</v>
      </c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7"/>
      <c r="DR65" s="7"/>
      <c r="DS65" s="7"/>
      <c r="DT65" s="7"/>
      <c r="DU65" s="7"/>
      <c r="DV65" s="7"/>
      <c r="DW65" s="7"/>
      <c r="DX65" s="7"/>
      <c r="DY65" s="7"/>
      <c r="DZ65" s="7"/>
      <c r="EA65" s="7"/>
      <c r="EB65" s="7"/>
      <c r="EC65" s="7"/>
      <c r="ED65" s="7"/>
      <c r="EE65" s="7"/>
      <c r="EF65" s="7"/>
      <c r="EG65" s="7"/>
      <c r="EH65" s="7"/>
      <c r="EI65" s="7"/>
      <c r="EJ65" s="7"/>
      <c r="EK65" s="7"/>
      <c r="EL65" s="7"/>
      <c r="EM65" s="7"/>
      <c r="EN65" s="7"/>
      <c r="EO65" s="7"/>
      <c r="EP65" s="7"/>
      <c r="EQ65" s="7"/>
      <c r="ER65" s="7"/>
      <c r="ES65" s="7"/>
      <c r="ET65" s="7"/>
      <c r="EU65" s="7"/>
      <c r="EV65" s="7"/>
      <c r="EW65" s="7"/>
      <c r="EX65" s="7"/>
      <c r="EY65" s="7"/>
      <c r="EZ65" s="7"/>
      <c r="FA65" s="7"/>
      <c r="FB65" s="7"/>
      <c r="FC65" s="7"/>
    </row>
    <row r="66" spans="3:159" ht="26" x14ac:dyDescent="0.3">
      <c r="C66" s="4"/>
      <c r="D66" s="35">
        <v>512</v>
      </c>
      <c r="E66" s="7" t="s">
        <v>477</v>
      </c>
      <c r="F66" s="7" t="s">
        <v>478</v>
      </c>
      <c r="G66" s="7" t="s">
        <v>15</v>
      </c>
      <c r="H66" s="7" t="s">
        <v>15</v>
      </c>
      <c r="I66" s="21" t="s">
        <v>15</v>
      </c>
      <c r="J66" s="35">
        <v>512</v>
      </c>
      <c r="K66" s="7" t="s">
        <v>479</v>
      </c>
      <c r="L66" s="7" t="s">
        <v>480</v>
      </c>
      <c r="M66" s="7" t="s">
        <v>15</v>
      </c>
      <c r="N66" s="7" t="s">
        <v>15</v>
      </c>
      <c r="O66" s="21" t="s">
        <v>15</v>
      </c>
      <c r="P66" s="35">
        <v>512</v>
      </c>
      <c r="Q66" s="7">
        <v>4.3102000000000001E-2</v>
      </c>
      <c r="R66" s="7">
        <v>2.4279999999999999E-2</v>
      </c>
      <c r="S66" s="7">
        <v>0.94912700000000005</v>
      </c>
      <c r="T66" s="7">
        <v>0.94950100000000004</v>
      </c>
      <c r="U66" s="7">
        <v>0.97912900000000003</v>
      </c>
      <c r="V66" s="7">
        <v>115.23826200000001</v>
      </c>
      <c r="W66" s="7">
        <v>103.493264</v>
      </c>
      <c r="X66" s="7">
        <v>15.660565</v>
      </c>
      <c r="Y66" s="7">
        <v>29.820588999999998</v>
      </c>
      <c r="Z66" s="7">
        <v>30.225383000000001</v>
      </c>
      <c r="AA66" s="7">
        <v>36.756359000000003</v>
      </c>
      <c r="AB66" s="7">
        <f t="shared" si="48"/>
        <v>1.031203758605836</v>
      </c>
      <c r="AC66" s="7">
        <f t="shared" si="49"/>
        <v>1.2160758723884493</v>
      </c>
      <c r="AD66" s="7">
        <f t="shared" si="50"/>
        <v>0.15131965496807601</v>
      </c>
      <c r="AE66" s="7">
        <f t="shared" si="51"/>
        <v>0.58974308572327172</v>
      </c>
      <c r="AF66" s="7">
        <f t="shared" si="52"/>
        <v>9.8829128104252761E-2</v>
      </c>
      <c r="AG66" s="7">
        <f t="shared" si="53"/>
        <v>0.86410273178191455</v>
      </c>
      <c r="AH66" s="35">
        <v>512</v>
      </c>
      <c r="AI66" s="7" t="s">
        <v>481</v>
      </c>
      <c r="AJ66" s="7" t="s">
        <v>482</v>
      </c>
      <c r="AL66" s="7" t="s">
        <v>15</v>
      </c>
      <c r="AM66" s="7" t="s">
        <v>15</v>
      </c>
      <c r="AN66" s="35">
        <v>512</v>
      </c>
      <c r="AO66" s="7">
        <v>6.3295000000000004E-2</v>
      </c>
      <c r="AP66" s="7">
        <v>3.7081000000000003E-2</v>
      </c>
      <c r="AQ66" s="7">
        <v>0.95341299999999995</v>
      </c>
      <c r="AR66" s="7">
        <v>0.95543500000000003</v>
      </c>
      <c r="AS66" s="7">
        <v>0.98116800000000004</v>
      </c>
      <c r="AT66" s="7">
        <v>218.211623</v>
      </c>
      <c r="AU66" s="7">
        <v>212.187546</v>
      </c>
      <c r="AV66" s="7">
        <v>14.978771</v>
      </c>
      <c r="AW66" s="7">
        <v>35.649062000000001</v>
      </c>
      <c r="AX66" s="7">
        <v>33.296461000000001</v>
      </c>
      <c r="AY66" s="7">
        <v>38.173296999999998</v>
      </c>
      <c r="AZ66" s="7">
        <f t="shared" si="54"/>
        <v>1.0269332816989121</v>
      </c>
      <c r="BA66" s="7">
        <f t="shared" si="55"/>
        <v>1.1464670975092517</v>
      </c>
      <c r="BB66" s="7">
        <f t="shared" si="56"/>
        <v>7.059213079357636E-2</v>
      </c>
      <c r="BC66" s="7">
        <f t="shared" si="57"/>
        <v>0.59576705948011377</v>
      </c>
      <c r="BD66" s="7">
        <f t="shared" si="58"/>
        <v>3.9226079346349189E-2</v>
      </c>
      <c r="BE66" s="7">
        <f t="shared" si="59"/>
        <v>0.93135667663312327</v>
      </c>
      <c r="BF66" s="7" t="s">
        <v>15</v>
      </c>
      <c r="BG66" s="7" t="s">
        <v>15</v>
      </c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7"/>
      <c r="DW66" s="7"/>
      <c r="DX66" s="7"/>
      <c r="DY66" s="7"/>
      <c r="DZ66" s="7"/>
      <c r="EA66" s="7"/>
      <c r="EB66" s="7"/>
      <c r="EC66" s="7"/>
      <c r="ED66" s="7"/>
      <c r="EE66" s="7"/>
      <c r="EF66" s="7"/>
      <c r="EG66" s="7"/>
      <c r="EH66" s="7"/>
      <c r="EI66" s="7"/>
      <c r="EJ66" s="7"/>
      <c r="EK66" s="7"/>
      <c r="EL66" s="7"/>
      <c r="EM66" s="7"/>
      <c r="EN66" s="7"/>
      <c r="EO66" s="7"/>
      <c r="EP66" s="7"/>
      <c r="EQ66" s="7"/>
      <c r="ER66" s="7"/>
      <c r="ES66" s="7"/>
      <c r="ET66" s="7"/>
      <c r="EU66" s="7"/>
      <c r="EV66" s="7"/>
      <c r="EW66" s="7"/>
      <c r="EX66" s="7"/>
      <c r="EY66" s="7"/>
      <c r="EZ66" s="7"/>
      <c r="FA66" s="7"/>
      <c r="FB66" s="7"/>
      <c r="FC66" s="7"/>
    </row>
    <row r="67" spans="3:159" ht="26" x14ac:dyDescent="0.3">
      <c r="C67" s="4"/>
      <c r="D67" s="36">
        <v>1024</v>
      </c>
      <c r="E67" s="7" t="s">
        <v>483</v>
      </c>
      <c r="F67" s="7" t="s">
        <v>484</v>
      </c>
      <c r="G67" s="7" t="s">
        <v>15</v>
      </c>
      <c r="H67" s="7" t="s">
        <v>15</v>
      </c>
      <c r="I67" s="21" t="s">
        <v>15</v>
      </c>
      <c r="J67" s="36">
        <v>1024</v>
      </c>
      <c r="K67" s="7" t="s">
        <v>485</v>
      </c>
      <c r="L67" s="7" t="s">
        <v>486</v>
      </c>
      <c r="M67" s="7" t="s">
        <v>15</v>
      </c>
      <c r="N67" s="7" t="s">
        <v>15</v>
      </c>
      <c r="O67" s="21" t="s">
        <v>15</v>
      </c>
      <c r="P67" s="36">
        <v>1024</v>
      </c>
      <c r="Q67" s="7">
        <v>4.0661000000000003E-2</v>
      </c>
      <c r="R67" s="7">
        <v>2.4265999999999999E-2</v>
      </c>
      <c r="S67" s="7">
        <v>0.94912700000000005</v>
      </c>
      <c r="T67" s="7">
        <v>0.94825800000000005</v>
      </c>
      <c r="U67" s="7">
        <v>0.97865199999999997</v>
      </c>
      <c r="V67" s="7">
        <v>115.23826200000001</v>
      </c>
      <c r="W67" s="7">
        <v>106.996128</v>
      </c>
      <c r="X67" s="7">
        <v>16.905922</v>
      </c>
      <c r="Y67" s="7">
        <v>29.820588999999998</v>
      </c>
      <c r="Z67" s="7">
        <v>29.898947</v>
      </c>
      <c r="AA67" s="7">
        <v>36.332892999999999</v>
      </c>
      <c r="AB67" s="7">
        <f t="shared" si="48"/>
        <v>1.0320524582972144</v>
      </c>
      <c r="AC67" s="7">
        <f t="shared" si="49"/>
        <v>1.2151897188887621</v>
      </c>
      <c r="AD67" s="7">
        <f t="shared" si="50"/>
        <v>0.15800498874127483</v>
      </c>
      <c r="AE67" s="7">
        <f t="shared" si="51"/>
        <v>0.58036679574626904</v>
      </c>
      <c r="AF67" s="7">
        <f t="shared" si="52"/>
        <v>9.2795079172152073E-2</v>
      </c>
      <c r="AG67" s="7">
        <f t="shared" si="53"/>
        <v>0.85329593047836838</v>
      </c>
      <c r="AH67" s="36">
        <v>1024</v>
      </c>
      <c r="AI67" s="7" t="s">
        <v>487</v>
      </c>
      <c r="AJ67" s="7" t="s">
        <v>377</v>
      </c>
      <c r="AL67" s="7"/>
      <c r="AM67" s="7" t="s">
        <v>15</v>
      </c>
      <c r="AN67" s="36">
        <v>1024</v>
      </c>
      <c r="AO67" s="7">
        <v>5.1246E-2</v>
      </c>
      <c r="AP67" s="7">
        <v>3.3452000000000003E-2</v>
      </c>
      <c r="AQ67" s="7">
        <v>0.95341299999999995</v>
      </c>
      <c r="AR67" s="7">
        <v>0.95495699999999994</v>
      </c>
      <c r="AS67" s="7">
        <v>0.98055599999999998</v>
      </c>
      <c r="AT67" s="7">
        <v>218.211623</v>
      </c>
      <c r="AU67" s="7">
        <v>215.61427</v>
      </c>
      <c r="AV67" s="7">
        <v>19.320743</v>
      </c>
      <c r="AW67" s="7">
        <v>35.649062000000001</v>
      </c>
      <c r="AX67" s="7">
        <v>32.205401000000002</v>
      </c>
      <c r="AY67" s="7">
        <v>36.815809999999999</v>
      </c>
      <c r="AZ67" s="7">
        <f t="shared" si="54"/>
        <v>1.0268064425937504</v>
      </c>
      <c r="BA67" s="7">
        <f t="shared" si="55"/>
        <v>1.1431563916872203</v>
      </c>
      <c r="BB67" s="7">
        <f t="shared" si="56"/>
        <v>8.9607904894235438E-2</v>
      </c>
      <c r="BC67" s="7">
        <f t="shared" si="57"/>
        <v>0.58263034752184095</v>
      </c>
      <c r="BD67" s="7">
        <f t="shared" si="58"/>
        <v>1.8131017763874682E-2</v>
      </c>
      <c r="BE67" s="7">
        <f t="shared" si="59"/>
        <v>0.91145868980590461</v>
      </c>
      <c r="BF67" s="7" t="s">
        <v>15</v>
      </c>
      <c r="BG67" s="7" t="s">
        <v>15</v>
      </c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  <c r="CZ67" s="7"/>
      <c r="DA67" s="7"/>
      <c r="DB67" s="7"/>
      <c r="DC67" s="7"/>
      <c r="DD67" s="7"/>
      <c r="DE67" s="7"/>
      <c r="DF67" s="7"/>
      <c r="DG67" s="7"/>
      <c r="DH67" s="7"/>
      <c r="DI67" s="7"/>
      <c r="DJ67" s="7"/>
      <c r="DK67" s="7"/>
      <c r="DL67" s="7"/>
      <c r="DM67" s="7"/>
      <c r="DN67" s="7"/>
      <c r="DO67" s="7"/>
      <c r="DP67" s="7"/>
      <c r="DQ67" s="7"/>
      <c r="DR67" s="7"/>
      <c r="DS67" s="7"/>
      <c r="DT67" s="7"/>
      <c r="DU67" s="7"/>
      <c r="DV67" s="7"/>
      <c r="DW67" s="7"/>
      <c r="DX67" s="7"/>
      <c r="DY67" s="7"/>
      <c r="DZ67" s="7"/>
      <c r="EA67" s="7"/>
      <c r="EB67" s="7"/>
      <c r="EC67" s="7"/>
      <c r="ED67" s="7"/>
      <c r="EE67" s="7"/>
      <c r="EF67" s="7"/>
      <c r="EG67" s="7"/>
      <c r="EH67" s="7"/>
      <c r="EI67" s="7"/>
      <c r="EJ67" s="7"/>
      <c r="EK67" s="7"/>
      <c r="EL67" s="7"/>
      <c r="EM67" s="7"/>
      <c r="EN67" s="7"/>
      <c r="EO67" s="7"/>
      <c r="EP67" s="7"/>
      <c r="EQ67" s="7"/>
      <c r="ER67" s="7"/>
      <c r="ES67" s="7"/>
      <c r="ET67" s="7"/>
      <c r="EU67" s="7"/>
      <c r="EV67" s="7"/>
      <c r="EW67" s="7"/>
      <c r="EX67" s="7"/>
      <c r="EY67" s="7"/>
      <c r="EZ67" s="7"/>
      <c r="FA67" s="7"/>
      <c r="FB67" s="7"/>
      <c r="FC67" s="7"/>
    </row>
    <row r="68" spans="3:159" ht="26" x14ac:dyDescent="0.3">
      <c r="C68" s="4"/>
      <c r="D68" s="8" t="s">
        <v>15</v>
      </c>
      <c r="E68" s="37" t="s">
        <v>15</v>
      </c>
      <c r="F68" s="37" t="s">
        <v>15</v>
      </c>
      <c r="G68" s="37" t="s">
        <v>15</v>
      </c>
      <c r="H68" s="37" t="s">
        <v>15</v>
      </c>
      <c r="I68" s="38" t="s">
        <v>15</v>
      </c>
      <c r="J68" s="8" t="s">
        <v>15</v>
      </c>
      <c r="K68" s="37"/>
      <c r="L68" s="37"/>
      <c r="M68" s="37" t="s">
        <v>15</v>
      </c>
      <c r="N68" s="37" t="s">
        <v>15</v>
      </c>
      <c r="O68" s="38" t="s">
        <v>15</v>
      </c>
      <c r="P68" s="8" t="s">
        <v>15</v>
      </c>
      <c r="Q68" s="37" t="s">
        <v>15</v>
      </c>
      <c r="R68" s="37" t="s">
        <v>15</v>
      </c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 t="s">
        <v>15</v>
      </c>
      <c r="AF68" s="37"/>
      <c r="AG68" s="37" t="s">
        <v>15</v>
      </c>
      <c r="AH68" s="8" t="s">
        <v>15</v>
      </c>
      <c r="AI68" s="37" t="s">
        <v>15</v>
      </c>
      <c r="AJ68" s="37" t="s">
        <v>15</v>
      </c>
      <c r="AK68" s="37" t="s">
        <v>15</v>
      </c>
      <c r="AL68" s="37" t="s">
        <v>15</v>
      </c>
      <c r="AM68" s="37" t="s">
        <v>15</v>
      </c>
      <c r="AN68" s="8" t="s">
        <v>15</v>
      </c>
      <c r="AO68" s="39">
        <v>8.3779000000000006E-2</v>
      </c>
      <c r="AP68" s="39">
        <v>6.8009E-2</v>
      </c>
      <c r="AQ68" s="37"/>
      <c r="AR68" s="37"/>
      <c r="AS68" s="37"/>
      <c r="AT68" s="37"/>
      <c r="AU68" s="37"/>
      <c r="AV68" s="37"/>
      <c r="AW68" s="37"/>
      <c r="AX68" s="37"/>
      <c r="AY68" s="37"/>
      <c r="AZ68" s="37"/>
      <c r="BA68" s="37"/>
      <c r="BB68" s="37"/>
      <c r="BC68" s="37" t="s">
        <v>15</v>
      </c>
      <c r="BD68" s="37"/>
      <c r="BE68" s="37" t="s">
        <v>15</v>
      </c>
      <c r="BF68" s="7" t="s">
        <v>15</v>
      </c>
      <c r="BG68" s="7" t="s">
        <v>15</v>
      </c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7"/>
      <c r="DW68" s="7"/>
      <c r="DX68" s="7"/>
      <c r="DY68" s="7"/>
      <c r="DZ68" s="7"/>
      <c r="EA68" s="7"/>
      <c r="EB68" s="7"/>
      <c r="EC68" s="7"/>
      <c r="ED68" s="7"/>
      <c r="EE68" s="7"/>
      <c r="EF68" s="7"/>
      <c r="EG68" s="7"/>
      <c r="EH68" s="7"/>
      <c r="EI68" s="7"/>
      <c r="EJ68" s="7"/>
      <c r="EK68" s="7"/>
      <c r="EL68" s="7"/>
      <c r="EM68" s="7"/>
      <c r="EN68" s="7"/>
      <c r="EO68" s="7"/>
      <c r="EP68" s="7"/>
      <c r="EQ68" s="7"/>
      <c r="ER68" s="7"/>
      <c r="ES68" s="7"/>
      <c r="ET68" s="7"/>
      <c r="EU68" s="7"/>
      <c r="EV68" s="7"/>
      <c r="EW68" s="7"/>
      <c r="EX68" s="7"/>
      <c r="EY68" s="7"/>
      <c r="EZ68" s="7"/>
      <c r="FA68" s="7"/>
      <c r="FB68" s="7"/>
      <c r="FC68" s="7"/>
    </row>
    <row r="69" spans="3:159" x14ac:dyDescent="0.3">
      <c r="D69" s="4"/>
      <c r="E69" s="1"/>
      <c r="F69" s="1"/>
      <c r="G69" s="1"/>
      <c r="H69" s="1"/>
      <c r="I69" s="1"/>
      <c r="J69" s="4"/>
      <c r="K69" s="1"/>
      <c r="L69" s="1"/>
      <c r="M69" s="1"/>
      <c r="N69" s="1"/>
      <c r="O69" s="1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1"/>
      <c r="AJ69" s="1"/>
      <c r="AK69" s="1"/>
      <c r="AL69" s="1"/>
      <c r="AM69" s="1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G69" s="1"/>
      <c r="BH69" s="1"/>
      <c r="BI69" s="1"/>
      <c r="BJ69" s="1"/>
      <c r="BK69" s="1"/>
      <c r="BL69" s="1"/>
      <c r="BM69" s="1"/>
      <c r="BN69" s="1"/>
      <c r="BO69" s="1"/>
    </row>
    <row r="70" spans="3:159" ht="19" hidden="1" customHeight="1" x14ac:dyDescent="0.3">
      <c r="E70" s="1"/>
      <c r="F70" s="1"/>
      <c r="G70" s="1"/>
      <c r="H70" s="1"/>
      <c r="I70" s="1"/>
      <c r="K70" s="1"/>
      <c r="L70" s="1"/>
      <c r="M70" s="1"/>
      <c r="N70" s="1"/>
      <c r="O70" s="1"/>
      <c r="AI70" s="1"/>
      <c r="AJ70" s="1"/>
      <c r="AK70" s="1"/>
      <c r="AL70" s="1"/>
      <c r="AM70" s="1"/>
      <c r="BG70" s="1"/>
      <c r="BH70" s="1"/>
      <c r="BI70" s="1"/>
      <c r="BJ70" s="1"/>
      <c r="BK70" s="1"/>
      <c r="BL70" s="1"/>
      <c r="BM70" s="1"/>
      <c r="BN70" s="1"/>
      <c r="BO70" s="1"/>
    </row>
    <row r="71" spans="3:159" ht="19" hidden="1" customHeight="1" x14ac:dyDescent="0.3">
      <c r="E71" s="1"/>
      <c r="F71" s="1"/>
      <c r="G71" s="1"/>
      <c r="H71" s="1"/>
      <c r="I71" s="1"/>
      <c r="K71" s="1"/>
      <c r="L71" s="1"/>
      <c r="M71" s="1"/>
      <c r="N71" s="1"/>
      <c r="O71" s="1"/>
      <c r="AI71" s="1"/>
      <c r="AJ71" s="1"/>
      <c r="AK71" s="1"/>
      <c r="AL71" s="1"/>
      <c r="AM71" s="1"/>
      <c r="BG71" s="1"/>
      <c r="BH71" s="1"/>
      <c r="BI71" s="1"/>
      <c r="BJ71" s="1"/>
      <c r="BK71" s="1"/>
      <c r="BL71" s="1"/>
      <c r="BM71" s="1"/>
      <c r="BN71" s="1"/>
      <c r="BO71" s="1"/>
    </row>
    <row r="72" spans="3:159" ht="19" hidden="1" customHeight="1" x14ac:dyDescent="0.3">
      <c r="E72" s="1"/>
      <c r="F72" s="1"/>
      <c r="G72" s="1"/>
      <c r="H72" s="1"/>
      <c r="I72" s="1"/>
      <c r="K72" s="1"/>
      <c r="L72" s="1"/>
      <c r="M72" s="1"/>
      <c r="N72" s="1"/>
      <c r="O72" s="1"/>
      <c r="AI72" s="1"/>
      <c r="AJ72" s="1"/>
      <c r="AK72" s="1"/>
      <c r="AL72" s="1"/>
      <c r="AM72" s="1"/>
      <c r="BG72" s="1"/>
      <c r="BH72" s="1"/>
      <c r="BI72" s="1"/>
      <c r="BJ72" s="1"/>
      <c r="BK72" s="1"/>
      <c r="BL72" s="1"/>
      <c r="BM72" s="1"/>
      <c r="BN72" s="1"/>
      <c r="BO72" s="1"/>
    </row>
    <row r="73" spans="3:159" ht="19" hidden="1" customHeight="1" x14ac:dyDescent="0.3">
      <c r="E73" s="1"/>
      <c r="F73" s="1"/>
      <c r="G73" s="1"/>
      <c r="H73" s="1"/>
      <c r="I73" s="1"/>
      <c r="K73" s="1"/>
      <c r="L73" s="1"/>
      <c r="M73" s="1"/>
      <c r="N73" s="1"/>
      <c r="O73" s="1"/>
      <c r="AI73" s="1"/>
      <c r="AJ73" s="1"/>
      <c r="AK73" s="1"/>
      <c r="AL73" s="1"/>
      <c r="AM73" s="1"/>
      <c r="BG73" s="1"/>
      <c r="BH73" s="1"/>
      <c r="BI73" s="1"/>
      <c r="BJ73" s="1"/>
      <c r="BK73" s="1"/>
      <c r="BL73" s="1"/>
      <c r="BM73" s="1"/>
      <c r="BN73" s="1"/>
      <c r="BO73" s="1"/>
    </row>
    <row r="74" spans="3:159" ht="19" hidden="1" customHeight="1" x14ac:dyDescent="0.3">
      <c r="E74" s="1"/>
      <c r="F74" s="1"/>
      <c r="G74" s="1"/>
      <c r="H74" s="1"/>
      <c r="I74" s="1"/>
      <c r="K74" s="1"/>
      <c r="L74" s="1"/>
      <c r="M74" s="1"/>
      <c r="N74" s="1"/>
      <c r="O74" s="1"/>
      <c r="AI74" s="1"/>
      <c r="AJ74" s="1"/>
      <c r="AK74" s="1"/>
      <c r="AL74" s="1"/>
      <c r="AM74" s="1"/>
      <c r="BG74" s="1"/>
      <c r="BH74" s="1"/>
      <c r="BI74" s="1"/>
      <c r="BJ74" s="1"/>
      <c r="BK74" s="1"/>
      <c r="BL74" s="1"/>
      <c r="BM74" s="1"/>
      <c r="BN74" s="1"/>
      <c r="BO74" s="1"/>
    </row>
    <row r="75" spans="3:159" ht="19" hidden="1" customHeight="1" x14ac:dyDescent="0.3">
      <c r="E75" s="1"/>
      <c r="F75" s="1"/>
      <c r="G75" s="1"/>
      <c r="H75" s="1"/>
      <c r="I75" s="1"/>
      <c r="K75" s="1"/>
      <c r="L75" s="1"/>
      <c r="M75" s="1"/>
      <c r="N75" s="1"/>
      <c r="O75" s="1"/>
      <c r="AI75" s="1"/>
      <c r="AJ75" s="1"/>
      <c r="AK75" s="1"/>
      <c r="AL75" s="1"/>
      <c r="AM75" s="1"/>
      <c r="BG75" s="1"/>
      <c r="BH75" s="1"/>
      <c r="BI75" s="1"/>
      <c r="BJ75" s="1"/>
      <c r="BK75" s="1"/>
      <c r="BL75" s="1"/>
      <c r="BM75" s="1"/>
      <c r="BN75" s="1"/>
      <c r="BO75" s="1"/>
    </row>
    <row r="76" spans="3:159" ht="19" hidden="1" customHeight="1" x14ac:dyDescent="0.3">
      <c r="E76" s="1"/>
      <c r="F76" s="1"/>
      <c r="G76" s="1"/>
      <c r="H76" s="1"/>
      <c r="I76" s="1"/>
      <c r="K76" s="1"/>
      <c r="L76" s="1"/>
      <c r="M76" s="1"/>
      <c r="N76" s="1"/>
      <c r="O76" s="1"/>
      <c r="AI76" s="1"/>
      <c r="AJ76" s="1"/>
      <c r="AK76" s="1"/>
      <c r="AL76" s="1"/>
      <c r="AM76" s="1"/>
      <c r="BG76" s="1"/>
      <c r="BH76" s="1"/>
      <c r="BI76" s="1"/>
      <c r="BJ76" s="1"/>
      <c r="BK76" s="1"/>
      <c r="BL76" s="1"/>
      <c r="BM76" s="1"/>
      <c r="BN76" s="1"/>
      <c r="BO76" s="1"/>
    </row>
    <row r="77" spans="3:159" x14ac:dyDescent="0.3">
      <c r="E77" s="1"/>
      <c r="F77" s="1"/>
      <c r="G77" s="1"/>
      <c r="H77" s="1"/>
      <c r="I77" s="1"/>
      <c r="K77" s="1"/>
      <c r="L77" s="1"/>
      <c r="M77" s="1"/>
      <c r="N77" s="1"/>
      <c r="O77" s="1"/>
      <c r="AI77" s="7"/>
      <c r="AJ77" s="7"/>
      <c r="AK77" s="1"/>
      <c r="AL77" s="1"/>
      <c r="AM77" s="1"/>
      <c r="BG77" s="1"/>
      <c r="BH77" s="1"/>
      <c r="BI77" s="1"/>
      <c r="BJ77" s="1"/>
      <c r="BK77" s="1"/>
      <c r="BL77" s="1"/>
      <c r="BM77" s="1"/>
      <c r="BN77" s="1"/>
      <c r="BO77" s="1"/>
    </row>
    <row r="78" spans="3:159" x14ac:dyDescent="0.3">
      <c r="E78" s="1"/>
      <c r="F78" s="1"/>
      <c r="G78" s="1"/>
      <c r="H78" s="1"/>
      <c r="I78" s="1"/>
      <c r="K78" s="1"/>
      <c r="L78" s="1"/>
      <c r="M78" s="1"/>
      <c r="N78" s="1"/>
      <c r="O78" s="1"/>
      <c r="AI78" s="7"/>
      <c r="AJ78" s="7"/>
      <c r="AK78" s="1"/>
      <c r="AL78" s="1"/>
      <c r="AM78" s="1"/>
      <c r="BG78" s="1"/>
      <c r="BH78" s="1"/>
      <c r="BI78" s="1"/>
      <c r="BJ78" s="1"/>
      <c r="BK78" s="1"/>
      <c r="BL78" s="1"/>
      <c r="BM78" s="1"/>
      <c r="BN78" s="1"/>
      <c r="BO78" s="1"/>
    </row>
    <row r="79" spans="3:159" x14ac:dyDescent="0.3">
      <c r="E79" s="1"/>
      <c r="F79" s="1"/>
      <c r="G79" s="1"/>
      <c r="H79" s="1"/>
      <c r="I79" s="1"/>
      <c r="K79" s="1"/>
      <c r="L79" s="1"/>
      <c r="M79" s="1"/>
      <c r="N79" s="1"/>
      <c r="O79" s="1"/>
      <c r="AI79" s="7"/>
      <c r="AJ79" s="7"/>
      <c r="AK79" s="1"/>
      <c r="AL79" s="1"/>
      <c r="AM79" s="1"/>
      <c r="BG79" s="1"/>
      <c r="BH79" s="1"/>
      <c r="BI79" s="1"/>
      <c r="BJ79" s="1"/>
      <c r="BK79" s="1"/>
      <c r="BL79" s="1"/>
      <c r="BM79" s="1"/>
      <c r="BN79" s="1"/>
      <c r="BO79" s="1"/>
    </row>
    <row r="80" spans="3:159" x14ac:dyDescent="0.3">
      <c r="E80" s="1"/>
      <c r="F80" s="1"/>
      <c r="G80" s="1"/>
      <c r="H80" s="1"/>
      <c r="I80" s="1"/>
      <c r="K80" s="1"/>
      <c r="L80" s="1"/>
      <c r="M80" s="1"/>
      <c r="N80" s="1"/>
      <c r="O80" s="1"/>
      <c r="AI80" s="7"/>
      <c r="AJ80" s="7"/>
      <c r="AK80" s="1"/>
      <c r="AL80" s="1"/>
      <c r="AM80" s="1"/>
      <c r="BG80" s="1"/>
      <c r="BH80" s="1"/>
      <c r="BI80" s="1"/>
      <c r="BJ80" s="1"/>
      <c r="BK80" s="1"/>
      <c r="BL80" s="1"/>
      <c r="BM80" s="1"/>
      <c r="BN80" s="1"/>
      <c r="BO80" s="1"/>
    </row>
    <row r="81" spans="5:67" x14ac:dyDescent="0.3">
      <c r="E81" s="1"/>
      <c r="F81" s="1"/>
      <c r="G81" s="1"/>
      <c r="H81" s="1"/>
      <c r="I81" s="1"/>
      <c r="K81" s="1"/>
      <c r="L81" s="1"/>
      <c r="M81" s="1"/>
      <c r="N81" s="1"/>
      <c r="O81" s="1"/>
      <c r="AC81" s="50"/>
      <c r="AD81" s="50"/>
      <c r="AE81" s="50"/>
      <c r="AF81" s="50"/>
      <c r="AG81" s="50"/>
      <c r="AH81" s="50"/>
      <c r="AI81" s="50"/>
      <c r="AJ81" s="50"/>
      <c r="AK81" s="50"/>
      <c r="AL81" s="50"/>
      <c r="AM81" s="1"/>
      <c r="BG81" s="1"/>
      <c r="BH81" s="1"/>
      <c r="BI81" s="1"/>
      <c r="BJ81" s="1"/>
      <c r="BK81" s="1"/>
      <c r="BL81" s="1"/>
      <c r="BM81" s="1"/>
      <c r="BN81" s="1"/>
      <c r="BO81" s="1"/>
    </row>
    <row r="82" spans="5:67" x14ac:dyDescent="0.3">
      <c r="E82" s="1"/>
      <c r="F82" s="1"/>
      <c r="G82" s="1"/>
      <c r="H82" s="1"/>
      <c r="I82" s="1"/>
      <c r="K82" s="1"/>
      <c r="L82" s="1"/>
      <c r="M82" s="1"/>
      <c r="N82" s="1"/>
      <c r="O82" s="1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1"/>
      <c r="BG82" s="1"/>
      <c r="BH82" s="1"/>
      <c r="BI82" s="1"/>
      <c r="BJ82" s="1"/>
      <c r="BK82" s="1"/>
      <c r="BL82" s="1"/>
      <c r="BM82" s="1"/>
      <c r="BN82" s="1"/>
      <c r="BO82" s="1"/>
    </row>
    <row r="83" spans="5:67" x14ac:dyDescent="0.3">
      <c r="E83" s="1"/>
      <c r="F83" s="1"/>
      <c r="G83" s="1"/>
      <c r="H83" s="1"/>
      <c r="I83" s="1"/>
      <c r="K83" s="1"/>
      <c r="L83" s="1"/>
      <c r="M83" s="1"/>
      <c r="N83" s="1"/>
      <c r="O83" s="1"/>
      <c r="AC83" s="50"/>
      <c r="AD83" s="50"/>
      <c r="AE83" s="50"/>
      <c r="AF83" s="50"/>
      <c r="AG83" s="50"/>
      <c r="AH83" s="50"/>
      <c r="AI83" s="50"/>
      <c r="AJ83" s="50"/>
      <c r="AK83" s="50"/>
      <c r="AL83" s="50"/>
      <c r="AM83" s="1"/>
      <c r="BG83" s="1"/>
      <c r="BH83" s="1"/>
      <c r="BI83" s="1"/>
      <c r="BJ83" s="1"/>
      <c r="BK83" s="1"/>
      <c r="BL83" s="1"/>
      <c r="BM83" s="1"/>
      <c r="BN83" s="1"/>
      <c r="BO83" s="1"/>
    </row>
    <row r="84" spans="5:67" x14ac:dyDescent="0.3">
      <c r="E84" s="1"/>
      <c r="F84" s="1"/>
      <c r="G84" s="1"/>
      <c r="H84" s="1"/>
      <c r="I84" s="1"/>
      <c r="K84" s="1"/>
      <c r="L84" s="1"/>
      <c r="M84" s="1"/>
      <c r="N84" s="1"/>
      <c r="O84" s="1"/>
      <c r="AC84" s="50"/>
      <c r="AD84" s="50"/>
      <c r="AE84" s="50"/>
      <c r="AF84" s="50"/>
      <c r="AG84" s="50"/>
      <c r="AH84" s="50"/>
      <c r="AI84" s="50"/>
      <c r="AJ84" s="50"/>
      <c r="AK84" s="50"/>
      <c r="AL84" s="50"/>
      <c r="AM84" s="1"/>
      <c r="BG84" s="1"/>
      <c r="BH84" s="1"/>
      <c r="BI84" s="1"/>
      <c r="BJ84" s="1"/>
      <c r="BK84" s="1"/>
      <c r="BL84" s="1"/>
      <c r="BM84" s="1"/>
      <c r="BN84" s="1"/>
      <c r="BO84" s="1"/>
    </row>
    <row r="85" spans="5:67" x14ac:dyDescent="0.3">
      <c r="E85" s="1"/>
      <c r="F85" s="1"/>
      <c r="G85" s="1"/>
      <c r="H85" s="1"/>
      <c r="I85" s="1"/>
      <c r="K85" s="1"/>
      <c r="L85" s="1"/>
      <c r="M85" s="1"/>
      <c r="N85" s="1"/>
      <c r="O85" s="1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  <c r="AK85" s="50"/>
      <c r="AL85" s="50"/>
      <c r="AM85" s="1"/>
      <c r="BG85" s="1"/>
      <c r="BH85" s="1"/>
      <c r="BI85" s="1"/>
      <c r="BJ85" s="1"/>
      <c r="BK85" s="1"/>
      <c r="BL85" s="1"/>
      <c r="BM85" s="1"/>
      <c r="BN85" s="1"/>
      <c r="BO85" s="1"/>
    </row>
    <row r="86" spans="5:67" x14ac:dyDescent="0.3">
      <c r="E86" s="1"/>
      <c r="F86" s="1"/>
      <c r="G86" s="1"/>
      <c r="H86" s="1"/>
      <c r="I86" s="1"/>
      <c r="K86" s="1"/>
      <c r="L86" s="1"/>
      <c r="M86" s="1"/>
      <c r="N86" s="1"/>
      <c r="O86" s="1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  <c r="AK86" s="50"/>
      <c r="AL86" s="50"/>
      <c r="AM86" s="1"/>
      <c r="BG86" s="1"/>
      <c r="BH86" s="1"/>
      <c r="BI86" s="1"/>
      <c r="BJ86" s="1"/>
      <c r="BK86" s="1"/>
      <c r="BL86" s="1"/>
      <c r="BM86" s="1"/>
      <c r="BN86" s="1"/>
      <c r="BO86" s="1"/>
    </row>
    <row r="87" spans="5:67" x14ac:dyDescent="0.3">
      <c r="E87" s="1"/>
      <c r="F87" s="1"/>
      <c r="G87" s="1"/>
      <c r="H87" s="1"/>
      <c r="I87" s="1"/>
      <c r="K87" s="1"/>
      <c r="L87" s="1"/>
      <c r="M87" s="1"/>
      <c r="N87" s="1"/>
      <c r="O87" s="1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  <c r="AK87" s="50"/>
      <c r="AL87" s="50"/>
      <c r="AM87" s="1"/>
      <c r="BG87" s="1"/>
      <c r="BH87" s="1"/>
      <c r="BI87" s="1"/>
      <c r="BJ87" s="1"/>
      <c r="BK87" s="1"/>
      <c r="BL87" s="1"/>
      <c r="BM87" s="1"/>
      <c r="BN87" s="1"/>
      <c r="BO87" s="1"/>
    </row>
    <row r="88" spans="5:67" x14ac:dyDescent="0.3">
      <c r="E88" s="1"/>
      <c r="F88" s="1"/>
      <c r="G88" s="1"/>
      <c r="H88" s="1"/>
      <c r="I88" s="1"/>
      <c r="K88" s="1"/>
      <c r="L88" s="1"/>
      <c r="M88" s="1"/>
      <c r="N88" s="1"/>
      <c r="O88" s="1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0"/>
      <c r="AK88" s="50"/>
      <c r="AL88" s="50"/>
      <c r="AM88" s="1"/>
      <c r="BG88" s="1"/>
      <c r="BH88" s="1"/>
      <c r="BI88" s="1"/>
      <c r="BJ88" s="1"/>
      <c r="BK88" s="1"/>
      <c r="BL88" s="1"/>
      <c r="BM88" s="1"/>
      <c r="BN88" s="1"/>
      <c r="BO88" s="1"/>
    </row>
    <row r="89" spans="5:67" x14ac:dyDescent="0.3"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  <c r="AH89" s="50"/>
      <c r="AI89" s="50"/>
      <c r="AJ89" s="50"/>
      <c r="AK89" s="50"/>
      <c r="AL89" s="50"/>
      <c r="AM89" s="1"/>
      <c r="BG89" s="1"/>
      <c r="BH89" s="1"/>
      <c r="BI89" s="1"/>
      <c r="BJ89" s="1"/>
      <c r="BK89" s="1"/>
      <c r="BL89" s="1"/>
      <c r="BM89" s="1"/>
      <c r="BN89" s="1"/>
      <c r="BO89" s="1"/>
    </row>
    <row r="90" spans="5:67" x14ac:dyDescent="0.3"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H90" s="50"/>
      <c r="AI90" s="50"/>
      <c r="AJ90" s="50"/>
      <c r="AK90" s="50"/>
      <c r="AL90" s="50"/>
      <c r="AM90" s="1"/>
      <c r="BG90" s="1"/>
      <c r="BH90" s="1"/>
      <c r="BI90" s="1"/>
      <c r="BJ90" s="1"/>
      <c r="BK90" s="1"/>
      <c r="BL90" s="1"/>
      <c r="BM90" s="1"/>
      <c r="BN90" s="1"/>
      <c r="BO90" s="1"/>
    </row>
    <row r="91" spans="5:67" x14ac:dyDescent="0.3"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  <c r="AK91" s="50"/>
      <c r="AL91" s="50"/>
      <c r="AM91" s="1"/>
      <c r="BG91" s="1"/>
      <c r="BH91" s="1"/>
      <c r="BI91" s="1"/>
      <c r="BJ91" s="1"/>
      <c r="BK91" s="1"/>
      <c r="BL91" s="1"/>
      <c r="BM91" s="1"/>
      <c r="BN91" s="1"/>
      <c r="BO91" s="1"/>
    </row>
    <row r="92" spans="5:67" x14ac:dyDescent="0.3"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0"/>
      <c r="AK92" s="50"/>
      <c r="AL92" s="50"/>
      <c r="AM92" s="1"/>
      <c r="BG92" s="1"/>
      <c r="BH92" s="1"/>
      <c r="BI92" s="1"/>
      <c r="BJ92" s="1"/>
      <c r="BK92" s="1"/>
      <c r="BL92" s="1"/>
      <c r="BM92" s="1"/>
      <c r="BN92" s="1"/>
      <c r="BO92" s="1"/>
    </row>
    <row r="93" spans="5:67" x14ac:dyDescent="0.3"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  <c r="AH93" s="50"/>
      <c r="AI93" s="50"/>
      <c r="AJ93" s="50"/>
      <c r="AK93" s="50"/>
      <c r="AL93" s="50"/>
      <c r="AM93" s="1"/>
      <c r="BG93" s="1"/>
      <c r="BH93" s="1"/>
      <c r="BI93" s="1"/>
      <c r="BJ93" s="1"/>
      <c r="BK93" s="1"/>
      <c r="BL93" s="1"/>
      <c r="BM93" s="1"/>
      <c r="BN93" s="1"/>
      <c r="BO93" s="1"/>
    </row>
    <row r="94" spans="5:67" x14ac:dyDescent="0.3"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50"/>
      <c r="AG94" s="50"/>
      <c r="AH94" s="50"/>
      <c r="AI94" s="50"/>
      <c r="AJ94" s="50"/>
      <c r="AK94" s="50"/>
      <c r="AL94" s="50"/>
      <c r="AM94" s="1"/>
      <c r="BG94" s="7"/>
      <c r="BH94" s="49"/>
      <c r="BI94" s="49"/>
      <c r="BJ94" s="49"/>
      <c r="BK94" s="49"/>
      <c r="BL94" s="49"/>
      <c r="BM94" s="49"/>
      <c r="BN94" s="49"/>
      <c r="BO94" s="49"/>
    </row>
    <row r="95" spans="5:67" x14ac:dyDescent="0.3"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50"/>
      <c r="AK95" s="50"/>
      <c r="AL95" s="50"/>
      <c r="AM95" s="1"/>
      <c r="BG95" s="7"/>
      <c r="BH95" s="41"/>
      <c r="BI95" s="41"/>
      <c r="BJ95" s="41"/>
      <c r="BK95" s="40"/>
      <c r="BL95" s="41"/>
      <c r="BM95" s="41"/>
      <c r="BN95" s="41"/>
      <c r="BO95" s="40"/>
    </row>
    <row r="96" spans="5:67" x14ac:dyDescent="0.3"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  <c r="AK96" s="50"/>
      <c r="AL96" s="50"/>
      <c r="AM96" s="1"/>
      <c r="BG96" s="40"/>
      <c r="BH96" s="7"/>
      <c r="BI96" s="7"/>
      <c r="BJ96" s="7"/>
      <c r="BK96" s="7"/>
      <c r="BL96" s="7"/>
      <c r="BM96" s="7"/>
      <c r="BN96" s="7"/>
      <c r="BO96" s="7"/>
    </row>
    <row r="97" spans="15:67" x14ac:dyDescent="0.3"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0"/>
      <c r="AK97" s="50"/>
      <c r="AL97" s="50"/>
      <c r="AM97" s="1"/>
      <c r="BG97" s="42"/>
      <c r="BH97" s="7"/>
      <c r="BI97" s="7"/>
      <c r="BJ97" s="7"/>
      <c r="BK97" s="7"/>
      <c r="BL97" s="7"/>
      <c r="BM97" s="7"/>
      <c r="BN97" s="7"/>
      <c r="BO97" s="7"/>
    </row>
    <row r="98" spans="15:67" x14ac:dyDescent="0.3"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  <c r="AH98" s="50"/>
      <c r="AI98" s="50"/>
      <c r="AJ98" s="50"/>
      <c r="AK98" s="50"/>
      <c r="AL98" s="50"/>
      <c r="AM98" s="1"/>
      <c r="BG98" s="42"/>
      <c r="BH98" s="7"/>
      <c r="BI98" s="7"/>
      <c r="BJ98" s="7"/>
      <c r="BK98" s="7"/>
      <c r="BL98" s="7"/>
      <c r="BM98" s="7"/>
      <c r="BN98" s="7"/>
      <c r="BO98" s="7"/>
    </row>
    <row r="99" spans="15:67" x14ac:dyDescent="0.3"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/>
      <c r="AI99" s="50"/>
      <c r="AJ99" s="50"/>
      <c r="AK99" s="50"/>
      <c r="AL99" s="50"/>
      <c r="AM99" s="1"/>
      <c r="BG99" s="42"/>
      <c r="BH99" s="7"/>
      <c r="BI99" s="7"/>
      <c r="BJ99" s="7"/>
      <c r="BK99" s="7"/>
      <c r="BL99" s="7"/>
      <c r="BM99" s="7"/>
      <c r="BN99" s="7"/>
      <c r="BO99" s="7"/>
    </row>
    <row r="100" spans="15:67" x14ac:dyDescent="0.3"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0"/>
      <c r="AK100" s="50"/>
      <c r="AL100" s="50"/>
      <c r="AM100" s="1"/>
      <c r="BG100" s="42"/>
      <c r="BH100" s="7"/>
      <c r="BI100" s="7"/>
      <c r="BJ100" s="7"/>
      <c r="BK100" s="7"/>
      <c r="BL100" s="7"/>
      <c r="BM100" s="7"/>
      <c r="BN100" s="7"/>
      <c r="BO100" s="7"/>
    </row>
    <row r="101" spans="15:67" x14ac:dyDescent="0.3"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  <c r="AE101" s="50"/>
      <c r="AF101" s="50"/>
      <c r="AG101" s="50"/>
      <c r="AH101" s="50"/>
      <c r="AI101" s="50"/>
      <c r="AJ101" s="50"/>
      <c r="AK101" s="50"/>
      <c r="AL101" s="50"/>
      <c r="AM101" s="1"/>
      <c r="BG101" s="42"/>
      <c r="BH101" s="7"/>
      <c r="BI101" s="7"/>
      <c r="BJ101" s="7"/>
      <c r="BK101" s="7"/>
      <c r="BL101" s="7"/>
      <c r="BM101" s="7"/>
      <c r="BN101" s="7"/>
      <c r="BO101" s="7"/>
    </row>
    <row r="102" spans="15:67" x14ac:dyDescent="0.3"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  <c r="AE102" s="50"/>
      <c r="AF102" s="50"/>
      <c r="AG102" s="50"/>
      <c r="AH102" s="50"/>
      <c r="AI102" s="50"/>
      <c r="AJ102" s="50"/>
      <c r="AK102" s="50"/>
      <c r="AL102" s="50"/>
      <c r="AM102" s="1"/>
      <c r="BG102" s="42"/>
      <c r="BH102" s="7"/>
      <c r="BI102" s="7"/>
      <c r="BJ102" s="7"/>
      <c r="BK102" s="7"/>
      <c r="BL102" s="7"/>
      <c r="BM102" s="7"/>
      <c r="BN102" s="7"/>
      <c r="BO102" s="7"/>
    </row>
    <row r="103" spans="15:67" x14ac:dyDescent="0.3"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  <c r="AE103" s="50"/>
      <c r="AF103" s="50"/>
      <c r="AG103" s="50"/>
      <c r="AH103" s="50"/>
      <c r="AI103" s="50"/>
      <c r="AJ103" s="50"/>
      <c r="AK103" s="50"/>
      <c r="AL103" s="50"/>
      <c r="AM103" s="1"/>
      <c r="BG103" s="42"/>
      <c r="BH103" s="7"/>
      <c r="BI103" s="7"/>
      <c r="BJ103" s="7"/>
      <c r="BK103" s="7"/>
      <c r="BL103" s="7"/>
      <c r="BM103" s="7"/>
      <c r="BN103" s="7"/>
      <c r="BO103" s="7"/>
    </row>
    <row r="104" spans="15:67" x14ac:dyDescent="0.3"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  <c r="AE104" s="50"/>
      <c r="AF104" s="50"/>
      <c r="AG104" s="50"/>
      <c r="AH104" s="50"/>
      <c r="AI104" s="50"/>
      <c r="AJ104" s="50"/>
      <c r="AK104" s="50"/>
      <c r="AL104" s="50"/>
      <c r="AM104" s="1"/>
      <c r="BG104" s="42"/>
      <c r="BH104" s="7"/>
      <c r="BI104" s="7"/>
      <c r="BJ104" s="7"/>
      <c r="BK104" s="7"/>
      <c r="BL104" s="7"/>
      <c r="BM104" s="7"/>
      <c r="BN104" s="7"/>
      <c r="BO104" s="7"/>
    </row>
    <row r="105" spans="15:67" x14ac:dyDescent="0.3"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  <c r="AE105" s="50"/>
      <c r="AF105" s="50"/>
      <c r="AG105" s="50"/>
      <c r="AH105" s="50"/>
      <c r="AI105" s="50"/>
      <c r="AJ105" s="50"/>
      <c r="AK105" s="50"/>
      <c r="AL105" s="50"/>
      <c r="AM105" s="1"/>
      <c r="BG105" s="42"/>
      <c r="BH105" s="7"/>
      <c r="BI105" s="7"/>
      <c r="BJ105" s="7"/>
      <c r="BK105" s="7"/>
      <c r="BL105" s="7"/>
      <c r="BM105" s="7"/>
      <c r="BN105" s="7"/>
      <c r="BO105" s="7"/>
    </row>
    <row r="106" spans="15:67" x14ac:dyDescent="0.3"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  <c r="AE106" s="50"/>
      <c r="AF106" s="50"/>
      <c r="AG106" s="50"/>
      <c r="AH106" s="50"/>
      <c r="AI106" s="50"/>
      <c r="AJ106" s="50"/>
      <c r="AK106" s="50"/>
      <c r="AL106" s="50"/>
      <c r="AM106" s="1"/>
      <c r="BG106" s="40"/>
      <c r="BH106" s="7"/>
      <c r="BI106" s="7"/>
      <c r="BJ106" s="7"/>
      <c r="BK106" s="7"/>
      <c r="BL106" s="7"/>
      <c r="BM106" s="7"/>
      <c r="BN106" s="7"/>
      <c r="BO106" s="7"/>
    </row>
    <row r="107" spans="15:67" x14ac:dyDescent="0.3"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  <c r="AE107" s="50"/>
      <c r="AF107" s="50"/>
      <c r="AG107" s="50"/>
      <c r="AH107" s="50"/>
      <c r="AI107" s="50"/>
      <c r="AJ107" s="50"/>
      <c r="AK107" s="50"/>
      <c r="AL107" s="50"/>
      <c r="AM107" s="1"/>
      <c r="BG107" s="1"/>
      <c r="BH107" s="1"/>
      <c r="BI107" s="1"/>
      <c r="BJ107" s="1"/>
      <c r="BK107" s="1"/>
      <c r="BL107" s="1"/>
      <c r="BM107" s="1"/>
      <c r="BN107" s="1"/>
      <c r="BO107" s="1"/>
    </row>
    <row r="108" spans="15:67" x14ac:dyDescent="0.3"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  <c r="AE108" s="50"/>
      <c r="AF108" s="50"/>
      <c r="AG108" s="50"/>
      <c r="AH108" s="50"/>
      <c r="AI108" s="50"/>
      <c r="AJ108" s="50"/>
      <c r="AK108" s="50"/>
      <c r="AL108" s="50"/>
      <c r="AM108" s="1"/>
      <c r="BG108" s="1"/>
      <c r="BH108" s="1"/>
      <c r="BI108" s="1"/>
      <c r="BJ108" s="1"/>
      <c r="BK108" s="1"/>
      <c r="BL108" s="1"/>
      <c r="BM108" s="1"/>
      <c r="BN108" s="1"/>
      <c r="BO108" s="1"/>
    </row>
    <row r="109" spans="15:67" x14ac:dyDescent="0.3"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  <c r="AE109" s="50"/>
      <c r="AF109" s="50"/>
      <c r="AG109" s="50"/>
      <c r="AH109" s="50"/>
      <c r="AI109" s="50"/>
      <c r="AJ109" s="50"/>
      <c r="AK109" s="50"/>
      <c r="AL109" s="50"/>
      <c r="AM109" s="1"/>
      <c r="BG109" s="1"/>
      <c r="BH109" s="1"/>
      <c r="BI109" s="1"/>
      <c r="BJ109" s="1"/>
      <c r="BK109" s="1"/>
      <c r="BL109" s="1"/>
      <c r="BM109" s="1"/>
      <c r="BN109" s="1"/>
      <c r="BO109" s="1"/>
    </row>
    <row r="110" spans="15:67" x14ac:dyDescent="0.3"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1"/>
      <c r="BG110" s="7"/>
      <c r="BH110" s="49"/>
      <c r="BI110" s="49"/>
      <c r="BJ110" s="49"/>
      <c r="BK110" s="49"/>
      <c r="BL110" s="49"/>
      <c r="BM110" s="49"/>
      <c r="BN110" s="49"/>
      <c r="BO110" s="49"/>
    </row>
    <row r="111" spans="15:67" x14ac:dyDescent="0.3"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  <c r="AE111" s="50"/>
      <c r="AF111" s="50"/>
      <c r="AG111" s="50"/>
      <c r="AH111" s="50"/>
      <c r="AI111" s="50"/>
      <c r="AJ111" s="50"/>
      <c r="AK111" s="50"/>
      <c r="AL111" s="50"/>
      <c r="AM111" s="1"/>
      <c r="BG111" s="7"/>
      <c r="BH111" s="41"/>
      <c r="BI111" s="41"/>
      <c r="BJ111" s="41"/>
      <c r="BK111" s="40"/>
      <c r="BL111" s="41"/>
      <c r="BM111" s="41"/>
      <c r="BN111" s="41"/>
      <c r="BO111" s="40"/>
    </row>
    <row r="112" spans="15:67" x14ac:dyDescent="0.3"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  <c r="AG112" s="50"/>
      <c r="AH112" s="50"/>
      <c r="AI112" s="50"/>
      <c r="AJ112" s="50"/>
      <c r="AK112" s="50"/>
      <c r="AL112" s="50"/>
      <c r="AM112" s="1"/>
      <c r="BG112" s="40"/>
      <c r="BH112" s="7"/>
      <c r="BI112" s="7"/>
      <c r="BJ112" s="7"/>
      <c r="BK112" s="7"/>
      <c r="BL112" s="7"/>
      <c r="BM112" s="7"/>
      <c r="BN112" s="7"/>
      <c r="BO112" s="7"/>
    </row>
    <row r="113" spans="15:67" x14ac:dyDescent="0.3"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  <c r="AE113" s="50"/>
      <c r="AF113" s="50"/>
      <c r="AG113" s="50"/>
      <c r="AH113" s="50"/>
      <c r="AI113" s="50"/>
      <c r="AJ113" s="50"/>
      <c r="AK113" s="50"/>
      <c r="AL113" s="50"/>
      <c r="BG113" s="42"/>
      <c r="BH113" s="7"/>
      <c r="BI113" s="7"/>
      <c r="BJ113" s="7"/>
      <c r="BK113" s="7"/>
      <c r="BL113" s="7"/>
      <c r="BM113" s="7"/>
      <c r="BN113" s="7"/>
      <c r="BO113" s="7"/>
    </row>
    <row r="114" spans="15:67" x14ac:dyDescent="0.3"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BG114" s="42"/>
      <c r="BH114" s="7"/>
      <c r="BI114" s="7"/>
      <c r="BJ114" s="7"/>
      <c r="BK114" s="7"/>
      <c r="BL114" s="7"/>
      <c r="BM114" s="7"/>
      <c r="BN114" s="7"/>
      <c r="BO114" s="7"/>
    </row>
    <row r="115" spans="15:67" x14ac:dyDescent="0.3"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  <c r="AE115" s="50"/>
      <c r="AF115" s="50"/>
      <c r="AG115" s="50"/>
      <c r="AH115" s="50"/>
      <c r="AI115" s="50"/>
      <c r="AJ115" s="50"/>
      <c r="AK115" s="50"/>
      <c r="AL115" s="50"/>
      <c r="BG115" s="42"/>
      <c r="BH115" s="7"/>
      <c r="BI115" s="7"/>
      <c r="BJ115" s="7"/>
      <c r="BK115" s="7"/>
      <c r="BL115" s="7"/>
      <c r="BM115" s="7"/>
      <c r="BN115" s="7"/>
      <c r="BO115" s="7"/>
    </row>
    <row r="116" spans="15:67" x14ac:dyDescent="0.3"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  <c r="AE116" s="50"/>
      <c r="AF116" s="50"/>
      <c r="AG116" s="50"/>
      <c r="AH116" s="50"/>
      <c r="AI116" s="50"/>
      <c r="AJ116" s="50"/>
      <c r="AK116" s="50"/>
      <c r="AL116" s="50"/>
      <c r="BG116" s="42"/>
      <c r="BH116" s="7"/>
      <c r="BI116" s="7"/>
      <c r="BJ116" s="7"/>
      <c r="BK116" s="7"/>
      <c r="BL116" s="7"/>
      <c r="BM116" s="7"/>
      <c r="BN116" s="7"/>
      <c r="BO116" s="7"/>
    </row>
    <row r="117" spans="15:67" x14ac:dyDescent="0.3"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  <c r="AD117" s="50"/>
      <c r="AE117" s="50"/>
      <c r="AF117" s="50"/>
      <c r="AG117" s="50"/>
      <c r="AH117" s="50"/>
      <c r="AI117" s="50"/>
      <c r="AJ117" s="50"/>
      <c r="AK117" s="50"/>
      <c r="AL117" s="50"/>
      <c r="BG117" s="42"/>
      <c r="BH117" s="7"/>
      <c r="BI117" s="7"/>
      <c r="BJ117" s="7"/>
      <c r="BK117" s="7"/>
      <c r="BL117" s="7"/>
      <c r="BM117" s="7"/>
      <c r="BN117" s="7"/>
      <c r="BO117" s="7"/>
    </row>
    <row r="118" spans="15:67" x14ac:dyDescent="0.3"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  <c r="AE118" s="50"/>
      <c r="AF118" s="50"/>
      <c r="AG118" s="50"/>
      <c r="AH118" s="50"/>
      <c r="AI118" s="50"/>
      <c r="AJ118" s="50"/>
      <c r="AK118" s="50"/>
      <c r="AL118" s="50"/>
      <c r="BG118" s="42"/>
      <c r="BH118" s="7"/>
      <c r="BI118" s="7"/>
      <c r="BJ118" s="7"/>
      <c r="BK118" s="7"/>
      <c r="BL118" s="7"/>
      <c r="BM118" s="7"/>
      <c r="BN118" s="7"/>
      <c r="BO118" s="7"/>
    </row>
    <row r="119" spans="15:67" x14ac:dyDescent="0.3"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  <c r="AD119" s="50"/>
      <c r="AE119" s="50"/>
      <c r="AF119" s="50"/>
      <c r="AG119" s="50"/>
      <c r="AH119" s="50"/>
      <c r="AI119" s="50"/>
      <c r="AJ119" s="50"/>
      <c r="AK119" s="50"/>
      <c r="AL119" s="50"/>
      <c r="BG119" s="42"/>
      <c r="BH119" s="7"/>
      <c r="BI119" s="7"/>
      <c r="BJ119" s="7"/>
      <c r="BK119" s="7"/>
      <c r="BL119" s="7"/>
      <c r="BM119" s="7"/>
      <c r="BN119" s="7"/>
      <c r="BO119" s="7"/>
    </row>
    <row r="120" spans="15:67" x14ac:dyDescent="0.3"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  <c r="AC120" s="50"/>
      <c r="AD120" s="50"/>
      <c r="AE120" s="50"/>
      <c r="AF120" s="50"/>
      <c r="AG120" s="50"/>
      <c r="AH120" s="50"/>
      <c r="AI120" s="50"/>
      <c r="AJ120" s="50"/>
      <c r="AK120" s="50"/>
      <c r="AL120" s="50"/>
      <c r="BG120" s="42"/>
      <c r="BH120" s="7"/>
      <c r="BI120" s="7"/>
      <c r="BJ120" s="7"/>
      <c r="BK120" s="7"/>
      <c r="BL120" s="7"/>
      <c r="BM120" s="7"/>
      <c r="BN120" s="7"/>
      <c r="BO120" s="7"/>
    </row>
    <row r="121" spans="15:67" x14ac:dyDescent="0.3"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  <c r="AC121" s="50"/>
      <c r="AD121" s="50"/>
      <c r="AE121" s="50"/>
      <c r="AF121" s="50"/>
      <c r="AG121" s="50"/>
      <c r="AH121" s="50"/>
      <c r="AI121" s="50"/>
      <c r="AJ121" s="50"/>
      <c r="AK121" s="50"/>
      <c r="AL121" s="50"/>
      <c r="BG121" s="42"/>
      <c r="BH121" s="7"/>
      <c r="BI121" s="7"/>
      <c r="BJ121" s="7"/>
      <c r="BK121" s="7"/>
      <c r="BL121" s="7"/>
      <c r="BM121" s="7"/>
      <c r="BN121" s="7"/>
      <c r="BO121" s="7"/>
    </row>
    <row r="122" spans="15:67" x14ac:dyDescent="0.3"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  <c r="AC122" s="50"/>
      <c r="AD122" s="50"/>
      <c r="AE122" s="50"/>
      <c r="AF122" s="50"/>
      <c r="AG122" s="50"/>
      <c r="AH122" s="50"/>
      <c r="AI122" s="50"/>
      <c r="AJ122" s="50"/>
      <c r="AK122" s="50"/>
      <c r="AL122" s="50"/>
      <c r="BG122" s="40"/>
      <c r="BH122" s="7"/>
      <c r="BI122" s="7"/>
      <c r="BJ122" s="7"/>
      <c r="BK122" s="7"/>
      <c r="BL122" s="7"/>
      <c r="BM122" s="7"/>
      <c r="BN122" s="7"/>
      <c r="BO122" s="7"/>
    </row>
    <row r="123" spans="15:67" ht="19" customHeight="1" x14ac:dyDescent="0.3"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  <c r="AD123" s="50"/>
      <c r="AE123" s="50"/>
      <c r="AF123" s="50"/>
      <c r="AG123" s="50"/>
      <c r="AH123" s="50"/>
      <c r="AI123" s="50"/>
      <c r="AJ123" s="50"/>
      <c r="AK123" s="50"/>
      <c r="AL123" s="50"/>
      <c r="BG123" s="40"/>
      <c r="BH123" s="7"/>
      <c r="BI123" s="7"/>
      <c r="BJ123" s="7"/>
      <c r="BK123" s="7"/>
      <c r="BL123" s="7"/>
      <c r="BM123" s="7"/>
      <c r="BN123" s="7"/>
      <c r="BO123" s="7"/>
    </row>
    <row r="124" spans="15:67" ht="19" customHeight="1" x14ac:dyDescent="0.3"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  <c r="AC124" s="50"/>
      <c r="AD124" s="50"/>
      <c r="AE124" s="50"/>
      <c r="AF124" s="50"/>
      <c r="AG124" s="50"/>
      <c r="AH124" s="50"/>
      <c r="AI124" s="50"/>
      <c r="AJ124" s="50"/>
      <c r="AK124" s="50"/>
      <c r="AL124" s="50"/>
      <c r="BG124" s="40"/>
      <c r="BH124" s="7"/>
      <c r="BI124" s="7"/>
      <c r="BJ124" s="7"/>
      <c r="BK124" s="7"/>
      <c r="BL124" s="7"/>
      <c r="BM124" s="7"/>
      <c r="BN124" s="7"/>
      <c r="BO124" s="7"/>
    </row>
    <row r="125" spans="15:67" ht="19" customHeight="1" x14ac:dyDescent="0.3"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  <c r="AC125" s="50"/>
      <c r="AD125" s="50"/>
      <c r="AE125" s="50"/>
      <c r="AF125" s="50"/>
      <c r="AG125" s="50"/>
      <c r="AH125" s="50"/>
      <c r="AI125" s="50"/>
      <c r="AJ125" s="50"/>
      <c r="AK125" s="50"/>
      <c r="AL125" s="50"/>
      <c r="BG125" s="7"/>
      <c r="BH125" s="49"/>
      <c r="BI125" s="49"/>
      <c r="BJ125" s="49"/>
      <c r="BK125" s="49"/>
      <c r="BL125" s="49"/>
      <c r="BM125" s="49"/>
      <c r="BN125" s="49"/>
      <c r="BO125" s="49"/>
    </row>
    <row r="126" spans="15:67" ht="19" customHeight="1" x14ac:dyDescent="0.3"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  <c r="AC126" s="50"/>
      <c r="AD126" s="50"/>
      <c r="AE126" s="50"/>
      <c r="AF126" s="50"/>
      <c r="AG126" s="50"/>
      <c r="AH126" s="50"/>
      <c r="AI126" s="50"/>
      <c r="AJ126" s="50"/>
      <c r="AK126" s="50"/>
      <c r="AL126" s="50"/>
      <c r="BG126" s="7"/>
      <c r="BH126" s="41"/>
      <c r="BI126" s="41"/>
      <c r="BJ126" s="41"/>
      <c r="BK126" s="40"/>
      <c r="BL126" s="41"/>
      <c r="BM126" s="41"/>
      <c r="BN126" s="41"/>
      <c r="BO126" s="40"/>
    </row>
    <row r="127" spans="15:67" ht="19" customHeight="1" x14ac:dyDescent="0.3"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  <c r="AC127" s="50"/>
      <c r="AD127" s="50"/>
      <c r="AE127" s="50"/>
      <c r="AF127" s="50"/>
      <c r="AG127" s="50"/>
      <c r="AH127" s="50"/>
      <c r="AI127" s="50"/>
      <c r="AJ127" s="50"/>
      <c r="AK127" s="50"/>
      <c r="AL127" s="50"/>
      <c r="BG127" s="40"/>
      <c r="BH127" s="7"/>
      <c r="BI127" s="7"/>
      <c r="BJ127" s="7"/>
      <c r="BK127" s="7"/>
      <c r="BL127" s="7"/>
      <c r="BM127" s="7"/>
      <c r="BN127" s="7"/>
      <c r="BO127" s="7"/>
    </row>
    <row r="128" spans="15:67" ht="19" customHeight="1" x14ac:dyDescent="0.3"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  <c r="AC128" s="50"/>
      <c r="AD128" s="50"/>
      <c r="AE128" s="50"/>
      <c r="AF128" s="50"/>
      <c r="AG128" s="50"/>
      <c r="AH128" s="50"/>
      <c r="AI128" s="50"/>
      <c r="AJ128" s="50"/>
      <c r="AK128" s="50"/>
      <c r="AL128" s="50"/>
      <c r="BG128" s="42"/>
      <c r="BH128" s="7"/>
      <c r="BI128" s="7"/>
      <c r="BJ128" s="7"/>
      <c r="BK128" s="7"/>
      <c r="BL128" s="7"/>
      <c r="BM128" s="7"/>
      <c r="BN128" s="7"/>
      <c r="BO128" s="7"/>
    </row>
    <row r="129" spans="15:67" ht="19" customHeight="1" x14ac:dyDescent="0.3"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  <c r="AC129" s="50"/>
      <c r="AD129" s="50"/>
      <c r="AE129" s="50"/>
      <c r="AF129" s="50"/>
      <c r="AG129" s="50"/>
      <c r="AH129" s="50"/>
      <c r="AI129" s="50"/>
      <c r="AJ129" s="50"/>
      <c r="AK129" s="50"/>
      <c r="AL129" s="50"/>
      <c r="BG129" s="42"/>
      <c r="BH129" s="7"/>
      <c r="BI129" s="7"/>
      <c r="BJ129" s="7"/>
      <c r="BK129" s="7"/>
      <c r="BL129" s="7"/>
      <c r="BM129" s="7"/>
      <c r="BN129" s="7"/>
      <c r="BO129" s="7"/>
    </row>
    <row r="130" spans="15:67" ht="19" customHeight="1" x14ac:dyDescent="0.3"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  <c r="AC130" s="50"/>
      <c r="AD130" s="50"/>
      <c r="AE130" s="50"/>
      <c r="AF130" s="50"/>
      <c r="AG130" s="50"/>
      <c r="AH130" s="50"/>
      <c r="AI130" s="50"/>
      <c r="AJ130" s="50"/>
      <c r="AK130" s="50"/>
      <c r="AL130" s="50"/>
      <c r="BG130" s="42"/>
      <c r="BH130" s="7"/>
      <c r="BI130" s="7"/>
      <c r="BJ130" s="7"/>
      <c r="BK130" s="7"/>
      <c r="BL130" s="7"/>
      <c r="BM130" s="7"/>
      <c r="BN130" s="7"/>
      <c r="BO130" s="7"/>
    </row>
    <row r="131" spans="15:67" ht="19" customHeight="1" x14ac:dyDescent="0.3"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  <c r="AE131" s="50"/>
      <c r="AF131" s="50"/>
      <c r="AG131" s="50"/>
      <c r="AH131" s="50"/>
      <c r="AI131" s="50"/>
      <c r="AJ131" s="50"/>
      <c r="AK131" s="50"/>
      <c r="AL131" s="50"/>
      <c r="BG131" s="42"/>
      <c r="BH131" s="7"/>
      <c r="BI131" s="7"/>
      <c r="BJ131" s="7"/>
      <c r="BK131" s="7"/>
      <c r="BL131" s="7"/>
      <c r="BM131" s="7"/>
      <c r="BN131" s="7"/>
      <c r="BO131" s="7"/>
    </row>
    <row r="132" spans="15:67" ht="19" customHeight="1" x14ac:dyDescent="0.3"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  <c r="AC132" s="50"/>
      <c r="AD132" s="50"/>
      <c r="AE132" s="50"/>
      <c r="AF132" s="50"/>
      <c r="AG132" s="50"/>
      <c r="AH132" s="50"/>
      <c r="AI132" s="50"/>
      <c r="AJ132" s="50"/>
      <c r="AK132" s="50"/>
      <c r="AL132" s="50"/>
      <c r="BG132" s="42"/>
      <c r="BH132" s="7"/>
      <c r="BI132" s="7"/>
      <c r="BJ132" s="7"/>
      <c r="BK132" s="7"/>
      <c r="BL132" s="7"/>
      <c r="BM132" s="7"/>
      <c r="BN132" s="7"/>
      <c r="BO132" s="7"/>
    </row>
    <row r="133" spans="15:67" ht="19" customHeight="1" x14ac:dyDescent="0.3"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  <c r="AC133" s="50"/>
      <c r="AD133" s="50"/>
      <c r="AE133" s="50"/>
      <c r="AF133" s="50"/>
      <c r="AG133" s="50"/>
      <c r="AH133" s="50"/>
      <c r="AI133" s="50"/>
      <c r="AJ133" s="50"/>
      <c r="AK133" s="50"/>
      <c r="AL133" s="50"/>
      <c r="BG133" s="42"/>
      <c r="BH133" s="7"/>
      <c r="BI133" s="7"/>
      <c r="BJ133" s="7"/>
      <c r="BK133" s="7"/>
      <c r="BL133" s="7"/>
      <c r="BM133" s="7"/>
      <c r="BN133" s="7"/>
      <c r="BO133" s="7"/>
    </row>
    <row r="134" spans="15:67" ht="19" customHeight="1" x14ac:dyDescent="0.3"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  <c r="AC134" s="50"/>
      <c r="AD134" s="50"/>
      <c r="AE134" s="50"/>
      <c r="AF134" s="50"/>
      <c r="AG134" s="50"/>
      <c r="AH134" s="50"/>
      <c r="AI134" s="50"/>
      <c r="AJ134" s="50"/>
      <c r="AK134" s="50"/>
      <c r="AL134" s="50"/>
      <c r="BG134" s="42"/>
      <c r="BH134" s="7"/>
      <c r="BI134" s="7"/>
      <c r="BJ134" s="7"/>
      <c r="BK134" s="7"/>
      <c r="BL134" s="7"/>
      <c r="BM134" s="7"/>
      <c r="BN134" s="7"/>
      <c r="BO134" s="7"/>
    </row>
    <row r="135" spans="15:67" ht="19" customHeight="1" x14ac:dyDescent="0.3"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  <c r="AA135" s="50"/>
      <c r="AB135" s="50"/>
      <c r="AC135" s="50"/>
      <c r="AD135" s="50"/>
      <c r="AE135" s="50"/>
      <c r="AF135" s="50"/>
      <c r="AG135" s="50"/>
      <c r="AH135" s="50"/>
      <c r="AI135" s="50"/>
      <c r="AJ135" s="50"/>
      <c r="AK135" s="50"/>
      <c r="AL135" s="50"/>
      <c r="AM135" s="50"/>
      <c r="AN135" s="50"/>
      <c r="AO135" s="50"/>
      <c r="AP135" s="50"/>
      <c r="BG135" s="42"/>
      <c r="BH135" s="7"/>
      <c r="BI135" s="7"/>
      <c r="BJ135" s="7"/>
      <c r="BK135" s="7"/>
      <c r="BL135" s="7"/>
      <c r="BM135" s="7"/>
      <c r="BN135" s="7"/>
      <c r="BO135" s="7"/>
    </row>
    <row r="136" spans="15:67" ht="19" customHeight="1" x14ac:dyDescent="0.3"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  <c r="AC136" s="50"/>
      <c r="AD136" s="50"/>
      <c r="AE136" s="50"/>
      <c r="AF136" s="50"/>
      <c r="AG136" s="50"/>
      <c r="AH136" s="50"/>
      <c r="AI136" s="50"/>
      <c r="AJ136" s="50"/>
      <c r="AK136" s="50"/>
      <c r="AL136" s="50"/>
      <c r="AM136" s="50"/>
      <c r="AN136" s="50"/>
      <c r="AO136" s="50"/>
      <c r="AP136" s="50"/>
      <c r="BG136" s="42"/>
      <c r="BH136" s="7"/>
      <c r="BI136" s="7"/>
      <c r="BJ136" s="7"/>
      <c r="BK136" s="7"/>
      <c r="BL136" s="7"/>
      <c r="BM136" s="7"/>
      <c r="BN136" s="7"/>
      <c r="BO136" s="7"/>
    </row>
    <row r="137" spans="15:67" ht="19" customHeight="1" x14ac:dyDescent="0.3"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  <c r="AC137" s="50"/>
      <c r="AD137" s="50"/>
      <c r="AE137" s="50"/>
      <c r="AF137" s="50"/>
      <c r="AG137" s="50"/>
      <c r="AH137" s="50"/>
      <c r="AI137" s="50"/>
      <c r="AJ137" s="50"/>
      <c r="AK137" s="50"/>
      <c r="AL137" s="50"/>
      <c r="AM137" s="50"/>
      <c r="AN137" s="50"/>
      <c r="AO137" s="50"/>
      <c r="AP137" s="50"/>
      <c r="BG137" s="40"/>
      <c r="BH137" s="7"/>
      <c r="BI137" s="7"/>
      <c r="BJ137" s="7"/>
      <c r="BK137" s="7"/>
      <c r="BL137" s="7"/>
      <c r="BM137" s="7"/>
      <c r="BN137" s="7"/>
      <c r="BO137" s="7"/>
    </row>
    <row r="138" spans="15:67" ht="19" customHeight="1" x14ac:dyDescent="0.3"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  <c r="AC138" s="50"/>
      <c r="AD138" s="50"/>
      <c r="AE138" s="50"/>
      <c r="AF138" s="50"/>
      <c r="AG138" s="50"/>
      <c r="AH138" s="50"/>
      <c r="AI138" s="50"/>
      <c r="AJ138" s="50"/>
      <c r="AK138" s="50"/>
      <c r="AL138" s="50"/>
      <c r="AM138" s="50"/>
      <c r="AN138" s="50"/>
      <c r="AO138" s="50"/>
      <c r="AP138" s="50"/>
      <c r="BG138" s="40"/>
      <c r="BH138" s="7"/>
      <c r="BI138" s="7"/>
      <c r="BJ138" s="7"/>
      <c r="BK138" s="7"/>
      <c r="BL138" s="7"/>
      <c r="BM138" s="7"/>
      <c r="BN138" s="7"/>
      <c r="BO138" s="7"/>
    </row>
    <row r="139" spans="15:67" ht="19" customHeight="1" x14ac:dyDescent="0.3"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  <c r="AA139" s="50"/>
      <c r="AB139" s="50"/>
      <c r="AC139" s="50"/>
      <c r="AD139" s="50"/>
      <c r="AE139" s="50"/>
      <c r="AF139" s="50"/>
      <c r="AG139" s="50"/>
      <c r="AH139" s="50"/>
      <c r="AI139" s="50"/>
      <c r="AJ139" s="50"/>
      <c r="AK139" s="50"/>
      <c r="AL139" s="50"/>
      <c r="AM139" s="50"/>
      <c r="AN139" s="50"/>
      <c r="AO139" s="50"/>
      <c r="AP139" s="50"/>
      <c r="BG139" s="40"/>
      <c r="BH139" s="7"/>
      <c r="BI139" s="7"/>
      <c r="BJ139" s="7"/>
      <c r="BK139" s="7"/>
      <c r="BL139" s="7"/>
      <c r="BM139" s="7"/>
      <c r="BN139" s="7"/>
      <c r="BO139" s="7"/>
    </row>
    <row r="140" spans="15:67" ht="52" customHeight="1" x14ac:dyDescent="0.3"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50"/>
      <c r="AB140" s="50"/>
      <c r="AC140" s="50"/>
      <c r="AD140" s="50"/>
      <c r="AE140" s="50"/>
      <c r="AF140" s="50"/>
      <c r="AG140" s="50"/>
      <c r="AH140" s="50"/>
      <c r="AI140" s="50"/>
      <c r="AJ140" s="50"/>
      <c r="AK140" s="50"/>
      <c r="AL140" s="50"/>
      <c r="AM140" s="50"/>
      <c r="AN140" s="50"/>
      <c r="AO140" s="50"/>
      <c r="AP140" s="50"/>
      <c r="BG140" s="40"/>
      <c r="BH140" s="7"/>
      <c r="BI140" s="7"/>
      <c r="BJ140" s="7"/>
      <c r="BK140" s="7"/>
      <c r="BL140" s="7"/>
      <c r="BM140" s="7"/>
      <c r="BN140" s="7"/>
      <c r="BO140" s="7"/>
    </row>
    <row r="141" spans="15:67" ht="19" customHeight="1" x14ac:dyDescent="0.3"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  <c r="AA141" s="50"/>
      <c r="AB141" s="50"/>
      <c r="AC141" s="50"/>
      <c r="AD141" s="50"/>
      <c r="AE141" s="50"/>
      <c r="AG141" s="50"/>
      <c r="AH141" s="50"/>
      <c r="AI141" s="50"/>
      <c r="AJ141" s="50"/>
      <c r="AK141" s="50"/>
      <c r="AL141" s="50"/>
      <c r="AM141" s="50"/>
      <c r="AN141" s="50"/>
      <c r="AO141" s="50"/>
      <c r="AP141" s="50"/>
      <c r="BG141" s="7"/>
      <c r="BH141" s="49"/>
      <c r="BI141" s="49"/>
      <c r="BJ141" s="49"/>
      <c r="BK141" s="49"/>
      <c r="BL141" s="49"/>
      <c r="BM141" s="49"/>
      <c r="BN141" s="49"/>
      <c r="BO141" s="49"/>
    </row>
    <row r="142" spans="15:67" ht="19" customHeight="1" x14ac:dyDescent="0.3"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  <c r="AA142" s="50"/>
      <c r="AB142" s="50"/>
      <c r="AC142" s="50"/>
      <c r="AD142" s="50"/>
      <c r="AE142" s="50"/>
      <c r="AG142" s="50"/>
      <c r="AH142" s="50"/>
      <c r="AI142" s="50"/>
      <c r="AJ142" s="50"/>
      <c r="AK142" s="50"/>
      <c r="AL142" s="50"/>
      <c r="AM142" s="50"/>
      <c r="AN142" s="50"/>
      <c r="AO142" s="50"/>
      <c r="AP142" s="50"/>
      <c r="BG142" s="7"/>
      <c r="BH142" s="41"/>
      <c r="BI142" s="41"/>
      <c r="BJ142" s="41"/>
      <c r="BK142" s="40"/>
      <c r="BL142" s="41"/>
      <c r="BM142" s="41"/>
      <c r="BN142" s="41"/>
      <c r="BO142" s="40"/>
    </row>
    <row r="143" spans="15:67" ht="19" customHeight="1" x14ac:dyDescent="0.3"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  <c r="AA143" s="50"/>
      <c r="AB143" s="50"/>
      <c r="AC143" s="50"/>
      <c r="AD143" s="50"/>
      <c r="AE143" s="50"/>
      <c r="AG143" s="50"/>
      <c r="AH143" s="50"/>
      <c r="AI143" s="50"/>
      <c r="AJ143" s="50"/>
      <c r="AK143" s="50"/>
      <c r="AL143" s="50"/>
      <c r="AM143" s="50"/>
      <c r="AN143" s="50"/>
      <c r="AO143" s="50"/>
      <c r="AP143" s="50"/>
      <c r="BG143" s="40"/>
      <c r="BH143" s="7"/>
      <c r="BI143" s="7"/>
      <c r="BJ143" s="7"/>
      <c r="BK143" s="7"/>
      <c r="BL143" s="7"/>
      <c r="BM143" s="7"/>
      <c r="BN143" s="7"/>
      <c r="BO143" s="7"/>
    </row>
    <row r="144" spans="15:67" ht="19" customHeight="1" x14ac:dyDescent="0.3"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  <c r="AA144" s="50"/>
      <c r="AB144" s="50"/>
      <c r="AC144" s="50"/>
      <c r="AD144" s="50"/>
      <c r="AE144" s="50"/>
      <c r="AG144" s="50"/>
      <c r="AH144" s="50"/>
      <c r="AI144" s="50"/>
      <c r="AJ144" s="50"/>
      <c r="AK144" s="50"/>
      <c r="AL144" s="50"/>
      <c r="AM144" s="50"/>
      <c r="AN144" s="50"/>
      <c r="AO144" s="50"/>
      <c r="AP144" s="50"/>
      <c r="BG144" s="42"/>
      <c r="BH144" s="7"/>
      <c r="BI144" s="7"/>
      <c r="BJ144" s="7"/>
      <c r="BK144" s="7"/>
      <c r="BL144" s="7"/>
      <c r="BM144" s="7"/>
      <c r="BN144" s="7"/>
      <c r="BO144" s="7"/>
    </row>
    <row r="145" spans="15:67" ht="19" customHeight="1" x14ac:dyDescent="0.3"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AG145" s="50"/>
      <c r="AH145" s="50"/>
      <c r="AI145" s="50"/>
      <c r="AJ145" s="50"/>
      <c r="AK145" s="50"/>
      <c r="AL145" s="50"/>
      <c r="AM145" s="50"/>
      <c r="AN145" s="50"/>
      <c r="AO145" s="50"/>
      <c r="AP145" s="50"/>
      <c r="BG145" s="42"/>
      <c r="BH145" s="7"/>
      <c r="BI145" s="7"/>
      <c r="BJ145" s="7"/>
      <c r="BK145" s="7"/>
      <c r="BL145" s="7"/>
      <c r="BM145" s="7"/>
      <c r="BN145" s="7"/>
      <c r="BO145" s="7"/>
    </row>
    <row r="146" spans="15:67" ht="19" customHeight="1" x14ac:dyDescent="0.3"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AG146" s="50"/>
      <c r="AH146" s="50"/>
      <c r="AI146" s="50"/>
      <c r="AJ146" s="50"/>
      <c r="AK146" s="50"/>
      <c r="AL146" s="50"/>
      <c r="AM146" s="50"/>
      <c r="AN146" s="50"/>
      <c r="AO146" s="50"/>
      <c r="AP146" s="50"/>
      <c r="BG146" s="42"/>
      <c r="BH146" s="7"/>
      <c r="BI146" s="7"/>
      <c r="BJ146" s="7"/>
      <c r="BK146" s="7"/>
      <c r="BL146" s="7"/>
      <c r="BM146" s="7"/>
      <c r="BN146" s="7"/>
      <c r="BO146" s="7"/>
    </row>
    <row r="147" spans="15:67" ht="19" customHeight="1" x14ac:dyDescent="0.3"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AG147" s="50"/>
      <c r="AH147" s="50"/>
      <c r="AI147" s="50"/>
      <c r="AJ147" s="50"/>
      <c r="AK147" s="50"/>
      <c r="AL147" s="50"/>
      <c r="AM147" s="50"/>
      <c r="AN147" s="50"/>
      <c r="AO147" s="50"/>
      <c r="AP147" s="50"/>
      <c r="BG147" s="42"/>
      <c r="BH147" s="7"/>
      <c r="BI147" s="7"/>
      <c r="BJ147" s="7"/>
      <c r="BK147" s="7"/>
      <c r="BL147" s="7"/>
      <c r="BM147" s="7"/>
      <c r="BN147" s="7"/>
      <c r="BO147" s="7"/>
    </row>
    <row r="148" spans="15:67" ht="19" customHeight="1" x14ac:dyDescent="0.3"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AG148" s="50"/>
      <c r="AH148" s="50"/>
      <c r="AI148" s="50"/>
      <c r="AJ148" s="50"/>
      <c r="AK148" s="50"/>
      <c r="AL148" s="50"/>
      <c r="AM148" s="50"/>
      <c r="AN148" s="50"/>
      <c r="AO148" s="50"/>
      <c r="AP148" s="50"/>
      <c r="BG148" s="42"/>
      <c r="BH148" s="7"/>
      <c r="BI148" s="7"/>
      <c r="BJ148" s="7"/>
      <c r="BK148" s="7"/>
      <c r="BL148" s="7"/>
      <c r="BM148" s="7"/>
      <c r="BN148" s="7"/>
      <c r="BO148" s="7"/>
    </row>
    <row r="149" spans="15:67" ht="19" customHeight="1" x14ac:dyDescent="0.3"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AG149" s="50"/>
      <c r="AH149" s="50"/>
      <c r="AI149" s="50"/>
      <c r="AJ149" s="50"/>
      <c r="AK149" s="50"/>
      <c r="AL149" s="50"/>
      <c r="AM149" s="50"/>
      <c r="AN149" s="50"/>
      <c r="AO149" s="50"/>
      <c r="AP149" s="50"/>
      <c r="BG149" s="42"/>
      <c r="BH149" s="7"/>
      <c r="BI149" s="7"/>
      <c r="BJ149" s="7"/>
      <c r="BK149" s="7"/>
      <c r="BL149" s="7"/>
      <c r="BM149" s="7"/>
      <c r="BN149" s="7"/>
      <c r="BO149" s="7"/>
    </row>
    <row r="150" spans="15:67" ht="19" customHeight="1" x14ac:dyDescent="0.3">
      <c r="AG150" s="50"/>
      <c r="AH150" s="50"/>
      <c r="AI150" s="50"/>
      <c r="AJ150" s="50"/>
      <c r="AK150" s="50"/>
      <c r="AL150" s="50"/>
      <c r="AM150" s="50"/>
      <c r="AN150" s="50"/>
      <c r="AO150" s="50"/>
      <c r="AP150" s="50"/>
      <c r="BG150" s="42"/>
      <c r="BH150" s="7"/>
      <c r="BI150" s="7"/>
      <c r="BJ150" s="7"/>
      <c r="BK150" s="7"/>
      <c r="BL150" s="7"/>
      <c r="BM150" s="7"/>
      <c r="BN150" s="7"/>
      <c r="BO150" s="7"/>
    </row>
    <row r="151" spans="15:67" ht="19" customHeight="1" x14ac:dyDescent="0.3">
      <c r="AG151" s="50"/>
      <c r="AH151" s="50"/>
      <c r="AI151" s="50"/>
      <c r="AJ151" s="50"/>
      <c r="AK151" s="50"/>
      <c r="AL151" s="50"/>
      <c r="AM151" s="50"/>
      <c r="AN151" s="50"/>
      <c r="AO151" s="50"/>
      <c r="AP151" s="50"/>
      <c r="BG151" s="42"/>
      <c r="BH151" s="7"/>
      <c r="BI151" s="7"/>
      <c r="BJ151" s="7"/>
      <c r="BK151" s="7"/>
      <c r="BL151" s="7"/>
      <c r="BM151" s="7"/>
      <c r="BN151" s="7"/>
      <c r="BO151" s="7"/>
    </row>
    <row r="152" spans="15:67" ht="19" customHeight="1" x14ac:dyDescent="0.3">
      <c r="AG152" s="50"/>
      <c r="AH152" s="50"/>
      <c r="AI152" s="50"/>
      <c r="AJ152" s="50"/>
      <c r="AK152" s="50"/>
      <c r="AL152" s="50"/>
      <c r="AM152" s="50"/>
      <c r="AN152" s="50"/>
      <c r="AO152" s="50"/>
      <c r="AP152" s="50"/>
      <c r="BG152" s="42"/>
      <c r="BH152" s="7"/>
      <c r="BI152" s="7"/>
      <c r="BJ152" s="7"/>
      <c r="BK152" s="7"/>
      <c r="BL152" s="7"/>
      <c r="BM152" s="7"/>
      <c r="BN152" s="7"/>
      <c r="BO152" s="7"/>
    </row>
    <row r="153" spans="15:67" ht="19" customHeight="1" x14ac:dyDescent="0.3">
      <c r="AG153" s="50"/>
      <c r="AH153" s="50"/>
      <c r="AI153" s="50"/>
      <c r="AJ153" s="50"/>
      <c r="AK153" s="50"/>
      <c r="AL153" s="50"/>
      <c r="AM153" s="50"/>
      <c r="AN153" s="50"/>
      <c r="AO153" s="50"/>
      <c r="AP153" s="50"/>
      <c r="BG153" s="40"/>
      <c r="BH153" s="7"/>
      <c r="BI153" s="7"/>
      <c r="BJ153" s="7"/>
      <c r="BK153" s="7"/>
      <c r="BL153" s="7"/>
      <c r="BM153" s="7"/>
      <c r="BN153" s="7"/>
      <c r="BO153" s="7"/>
    </row>
    <row r="154" spans="15:67" ht="19" customHeight="1" x14ac:dyDescent="0.3">
      <c r="AG154" s="50"/>
      <c r="AH154" s="50"/>
      <c r="AI154" s="50"/>
      <c r="AJ154" s="50"/>
      <c r="AK154" s="50"/>
      <c r="AL154" s="50"/>
      <c r="AM154" s="50"/>
      <c r="AN154" s="50"/>
      <c r="AO154" s="50"/>
      <c r="AP154" s="50"/>
      <c r="BG154" s="40"/>
      <c r="BH154" s="7"/>
      <c r="BI154" s="7"/>
      <c r="BJ154" s="7"/>
      <c r="BK154" s="7"/>
      <c r="BL154" s="7"/>
      <c r="BM154" s="7"/>
      <c r="BN154" s="7"/>
      <c r="BO154" s="7"/>
    </row>
    <row r="155" spans="15:67" ht="19" customHeight="1" x14ac:dyDescent="0.3">
      <c r="AG155" s="50"/>
      <c r="AH155" s="50"/>
      <c r="AI155" s="50"/>
      <c r="AJ155" s="50"/>
      <c r="AK155" s="50"/>
      <c r="AL155" s="50"/>
      <c r="AM155" s="50"/>
      <c r="AN155" s="50"/>
      <c r="AO155" s="50"/>
      <c r="AP155" s="50"/>
      <c r="BG155" s="40"/>
      <c r="BH155" s="7"/>
      <c r="BI155" s="7"/>
      <c r="BJ155" s="7"/>
      <c r="BK155" s="7"/>
      <c r="BL155" s="7"/>
      <c r="BM155" s="7"/>
      <c r="BN155" s="7"/>
      <c r="BO155" s="7"/>
    </row>
    <row r="156" spans="15:67" ht="19" customHeight="1" x14ac:dyDescent="0.3">
      <c r="AG156" s="50"/>
      <c r="AH156" s="50"/>
      <c r="AI156" s="50"/>
      <c r="AJ156" s="50"/>
      <c r="AK156" s="50"/>
      <c r="AL156" s="50"/>
      <c r="AM156" s="50"/>
      <c r="AN156" s="50"/>
      <c r="AO156" s="50"/>
      <c r="AP156" s="50"/>
      <c r="BG156" s="40"/>
      <c r="BH156" s="7"/>
      <c r="BI156" s="7"/>
      <c r="BJ156" s="7"/>
      <c r="BK156" s="7"/>
      <c r="BL156" s="7"/>
      <c r="BM156" s="7"/>
      <c r="BN156" s="7"/>
      <c r="BO156" s="7"/>
    </row>
    <row r="157" spans="15:67" ht="19" customHeight="1" x14ac:dyDescent="0.3">
      <c r="AG157" s="50"/>
      <c r="AH157" s="50"/>
      <c r="AI157" s="50"/>
      <c r="AJ157" s="50"/>
      <c r="AK157" s="50"/>
      <c r="AL157" s="50"/>
      <c r="AM157" s="50"/>
      <c r="AN157" s="50"/>
      <c r="AO157" s="50"/>
      <c r="AP157" s="50"/>
      <c r="BG157" s="40"/>
      <c r="BH157" s="7"/>
      <c r="BI157" s="7"/>
      <c r="BJ157" s="7"/>
      <c r="BK157" s="7"/>
      <c r="BL157" s="7"/>
      <c r="BM157" s="7"/>
      <c r="BN157" s="7"/>
      <c r="BO157" s="7"/>
    </row>
    <row r="158" spans="15:67" ht="19" customHeight="1" x14ac:dyDescent="0.3">
      <c r="AG158" s="50"/>
      <c r="AH158" s="50"/>
      <c r="AI158" s="50"/>
      <c r="AJ158" s="50"/>
      <c r="AK158" s="50"/>
      <c r="AL158" s="50"/>
      <c r="AM158" s="50"/>
      <c r="AN158" s="50"/>
      <c r="AO158" s="50"/>
      <c r="AP158" s="50"/>
      <c r="BG158" s="40"/>
      <c r="BH158" s="7"/>
      <c r="BI158" s="7"/>
      <c r="BJ158" s="7"/>
      <c r="BK158" s="7"/>
      <c r="BL158" s="7"/>
      <c r="BM158" s="7"/>
      <c r="BN158" s="7"/>
      <c r="BO158" s="7"/>
    </row>
    <row r="159" spans="15:67" ht="19" customHeight="1" x14ac:dyDescent="0.3">
      <c r="AG159" s="50"/>
      <c r="AH159" s="50"/>
      <c r="AI159" s="50"/>
      <c r="AJ159" s="50"/>
      <c r="AK159" s="50"/>
      <c r="AL159" s="50"/>
      <c r="AM159" s="50"/>
      <c r="AN159" s="50"/>
      <c r="AO159" s="50"/>
      <c r="AP159" s="50"/>
      <c r="BG159" s="40"/>
      <c r="BH159" s="7"/>
      <c r="BI159" s="7"/>
      <c r="BJ159" s="7"/>
      <c r="BK159" s="7"/>
      <c r="BL159" s="7"/>
      <c r="BM159" s="7"/>
      <c r="BN159" s="7"/>
      <c r="BO159" s="7"/>
    </row>
    <row r="160" spans="15:67" ht="19" customHeight="1" x14ac:dyDescent="0.3">
      <c r="AG160" s="50"/>
      <c r="AH160" s="50"/>
      <c r="AI160" s="50"/>
      <c r="AJ160" s="50"/>
      <c r="AK160" s="50"/>
      <c r="AL160" s="50"/>
      <c r="AM160" s="50"/>
      <c r="AN160" s="50"/>
      <c r="AO160" s="50"/>
      <c r="AP160" s="50"/>
      <c r="BG160" s="40"/>
      <c r="BH160" s="7"/>
      <c r="BI160" s="7"/>
      <c r="BJ160" s="7"/>
      <c r="BK160" s="7"/>
      <c r="BL160" s="7"/>
      <c r="BM160" s="7"/>
      <c r="BN160" s="7"/>
      <c r="BO160" s="7"/>
    </row>
    <row r="161" spans="33:67" ht="19" customHeight="1" x14ac:dyDescent="0.3">
      <c r="AG161" s="50"/>
      <c r="AH161" s="50"/>
      <c r="AI161" s="50"/>
      <c r="AJ161" s="50"/>
      <c r="AK161" s="50"/>
      <c r="AL161" s="50"/>
      <c r="AM161" s="50"/>
      <c r="AN161" s="50"/>
      <c r="AO161" s="50"/>
      <c r="AP161" s="50"/>
      <c r="BG161" s="40"/>
      <c r="BH161" s="7"/>
      <c r="BI161" s="7"/>
      <c r="BJ161" s="7"/>
      <c r="BK161" s="7"/>
      <c r="BL161" s="7"/>
      <c r="BM161" s="7"/>
      <c r="BN161" s="7"/>
      <c r="BO161" s="7"/>
    </row>
    <row r="162" spans="33:67" ht="19" customHeight="1" x14ac:dyDescent="0.3">
      <c r="AG162" s="50"/>
      <c r="AH162" s="50"/>
      <c r="AI162" s="50"/>
      <c r="AJ162" s="50"/>
      <c r="AK162" s="50"/>
      <c r="AL162" s="50"/>
      <c r="AM162" s="50"/>
      <c r="AN162" s="50"/>
      <c r="AO162" s="50"/>
      <c r="AP162" s="50"/>
      <c r="BG162" s="40"/>
      <c r="BH162" s="7"/>
      <c r="BI162" s="7"/>
      <c r="BJ162" s="7"/>
      <c r="BK162" s="7"/>
      <c r="BL162" s="7"/>
      <c r="BM162" s="7"/>
      <c r="BN162" s="7"/>
      <c r="BO162" s="7"/>
    </row>
    <row r="163" spans="33:67" ht="19" customHeight="1" x14ac:dyDescent="0.3">
      <c r="AG163" s="50"/>
      <c r="AH163" s="50"/>
      <c r="AI163" s="50"/>
      <c r="AJ163" s="50"/>
      <c r="AK163" s="50"/>
      <c r="AL163" s="50"/>
      <c r="AM163" s="50"/>
      <c r="AN163" s="50"/>
      <c r="AO163" s="50"/>
      <c r="AP163" s="50"/>
      <c r="BG163" s="40"/>
      <c r="BH163" s="7"/>
      <c r="BI163" s="7"/>
      <c r="BJ163" s="7"/>
      <c r="BK163" s="7"/>
      <c r="BL163" s="7"/>
      <c r="BM163" s="7"/>
      <c r="BN163" s="7"/>
      <c r="BO163" s="7"/>
    </row>
    <row r="164" spans="33:67" ht="19" customHeight="1" x14ac:dyDescent="0.3">
      <c r="AG164" s="50"/>
      <c r="AH164" s="50"/>
      <c r="AI164" s="50"/>
      <c r="AJ164" s="50"/>
      <c r="AK164" s="50"/>
      <c r="AL164" s="50"/>
      <c r="AM164" s="50"/>
      <c r="AN164" s="50"/>
      <c r="AO164" s="50"/>
      <c r="AP164" s="50"/>
      <c r="BG164" s="40"/>
      <c r="BH164" s="7"/>
      <c r="BI164" s="7"/>
      <c r="BJ164" s="7"/>
      <c r="BK164" s="7"/>
      <c r="BL164" s="7"/>
      <c r="BM164" s="7"/>
      <c r="BN164" s="7"/>
      <c r="BO164" s="7"/>
    </row>
    <row r="165" spans="33:67" ht="19" customHeight="1" x14ac:dyDescent="0.3">
      <c r="AG165" s="50"/>
      <c r="AH165" s="50"/>
      <c r="AI165" s="50"/>
      <c r="AJ165" s="50"/>
      <c r="AK165" s="50"/>
      <c r="AL165" s="50"/>
      <c r="AM165" s="50"/>
      <c r="AN165" s="50"/>
      <c r="AO165" s="50"/>
      <c r="AP165" s="50"/>
      <c r="BG165" s="40"/>
      <c r="BH165" s="7"/>
      <c r="BI165" s="7"/>
      <c r="BJ165" s="7"/>
      <c r="BK165" s="7"/>
      <c r="BL165" s="7"/>
      <c r="BM165" s="7"/>
      <c r="BN165" s="7"/>
      <c r="BO165" s="7"/>
    </row>
    <row r="166" spans="33:67" ht="19" customHeight="1" x14ac:dyDescent="0.3">
      <c r="AG166" s="50"/>
      <c r="AH166" s="50"/>
      <c r="AI166" s="50"/>
      <c r="AJ166" s="50"/>
      <c r="AK166" s="50"/>
      <c r="AL166" s="50"/>
      <c r="AM166" s="50"/>
      <c r="AN166" s="50"/>
      <c r="AO166" s="50"/>
      <c r="AP166" s="50"/>
      <c r="BG166" s="40"/>
      <c r="BH166" s="7"/>
      <c r="BI166" s="7"/>
      <c r="BJ166" s="7"/>
      <c r="BK166" s="7"/>
      <c r="BL166" s="7"/>
      <c r="BM166" s="7"/>
      <c r="BN166" s="7"/>
      <c r="BO166" s="7"/>
    </row>
    <row r="167" spans="33:67" ht="19" customHeight="1" x14ac:dyDescent="0.3">
      <c r="AG167" s="50"/>
      <c r="AH167" s="50"/>
      <c r="AI167" s="50"/>
      <c r="AJ167" s="50"/>
      <c r="AK167" s="50"/>
      <c r="AL167" s="50"/>
      <c r="AM167" s="50"/>
      <c r="AN167" s="50"/>
      <c r="AO167" s="50"/>
      <c r="AP167" s="50"/>
      <c r="BG167" s="40"/>
      <c r="BH167" s="7"/>
      <c r="BI167" s="7"/>
      <c r="BJ167" s="7"/>
      <c r="BK167" s="7"/>
      <c r="BL167" s="7"/>
      <c r="BM167" s="7"/>
      <c r="BN167" s="7"/>
      <c r="BO167" s="7"/>
    </row>
    <row r="168" spans="33:67" ht="19" customHeight="1" x14ac:dyDescent="0.3">
      <c r="AG168" s="50"/>
      <c r="AH168" s="50"/>
      <c r="AI168" s="50"/>
      <c r="AJ168" s="50"/>
      <c r="AK168" s="50"/>
      <c r="AL168" s="50"/>
      <c r="AM168" s="50"/>
      <c r="AN168" s="50"/>
      <c r="AO168" s="50"/>
      <c r="AP168" s="50"/>
      <c r="BG168" s="40"/>
      <c r="BH168" s="7"/>
      <c r="BI168" s="7"/>
      <c r="BJ168" s="7"/>
      <c r="BK168" s="7"/>
      <c r="BL168" s="7"/>
      <c r="BM168" s="7"/>
      <c r="BN168" s="7"/>
      <c r="BO168" s="7"/>
    </row>
    <row r="169" spans="33:67" ht="19" customHeight="1" x14ac:dyDescent="0.3">
      <c r="AG169" s="50"/>
      <c r="AH169" s="50"/>
      <c r="AI169" s="50"/>
      <c r="AJ169" s="50"/>
      <c r="AK169" s="50"/>
      <c r="AL169" s="50"/>
      <c r="AM169" s="50"/>
      <c r="AN169" s="50"/>
      <c r="AO169" s="50"/>
      <c r="AP169" s="50"/>
      <c r="BG169" s="40"/>
      <c r="BH169" s="7"/>
      <c r="BI169" s="7"/>
      <c r="BJ169" s="7"/>
      <c r="BK169" s="7"/>
      <c r="BL169" s="7"/>
      <c r="BM169" s="7"/>
      <c r="BN169" s="7"/>
      <c r="BO169" s="7"/>
    </row>
    <row r="170" spans="33:67" ht="19" customHeight="1" x14ac:dyDescent="0.3">
      <c r="AG170" s="50"/>
      <c r="AH170" s="50"/>
      <c r="AI170" s="50"/>
      <c r="AJ170" s="50"/>
      <c r="AK170" s="50"/>
      <c r="AL170" s="50"/>
      <c r="AM170" s="50"/>
      <c r="AN170" s="50"/>
      <c r="AO170" s="50"/>
      <c r="AP170" s="50"/>
      <c r="BG170" s="40"/>
      <c r="BH170" s="7"/>
      <c r="BI170" s="7"/>
      <c r="BJ170" s="7"/>
      <c r="BK170" s="7"/>
      <c r="BL170" s="7"/>
      <c r="BM170" s="7"/>
      <c r="BN170" s="7"/>
      <c r="BO170" s="7"/>
    </row>
    <row r="171" spans="33:67" ht="19" customHeight="1" x14ac:dyDescent="0.3">
      <c r="AG171" s="50"/>
      <c r="AH171" s="50"/>
      <c r="AI171" s="50"/>
      <c r="AJ171" s="50"/>
      <c r="AK171" s="50"/>
      <c r="AL171" s="50"/>
      <c r="AM171" s="50"/>
      <c r="AN171" s="50"/>
      <c r="AO171" s="50"/>
      <c r="AP171" s="50"/>
      <c r="BG171" s="40"/>
      <c r="BH171" s="7"/>
      <c r="BI171" s="7"/>
      <c r="BJ171" s="7"/>
      <c r="BK171" s="7"/>
      <c r="BL171" s="7"/>
      <c r="BM171" s="7"/>
      <c r="BN171" s="7"/>
      <c r="BO171" s="7"/>
    </row>
    <row r="172" spans="33:67" ht="19" customHeight="1" x14ac:dyDescent="0.3">
      <c r="AG172" s="50"/>
      <c r="AH172" s="50"/>
      <c r="AI172" s="50"/>
      <c r="AJ172" s="50"/>
      <c r="AK172" s="50"/>
      <c r="AL172" s="50"/>
      <c r="AM172" s="50"/>
      <c r="AN172" s="50"/>
      <c r="AO172" s="50"/>
      <c r="AP172" s="50"/>
      <c r="BG172" s="40"/>
      <c r="BH172" s="7"/>
      <c r="BI172" s="7"/>
      <c r="BJ172" s="7"/>
      <c r="BK172" s="7"/>
      <c r="BL172" s="7"/>
      <c r="BM172" s="7"/>
      <c r="BN172" s="7"/>
      <c r="BO172" s="7"/>
    </row>
    <row r="173" spans="33:67" ht="19" customHeight="1" x14ac:dyDescent="0.3">
      <c r="AG173" s="50"/>
      <c r="AH173" s="50"/>
      <c r="AI173" s="50"/>
      <c r="AJ173" s="50"/>
      <c r="AK173" s="50"/>
      <c r="AL173" s="50"/>
      <c r="AM173" s="50"/>
      <c r="AN173" s="50"/>
      <c r="AO173" s="50"/>
      <c r="AP173" s="50"/>
      <c r="BG173" s="40"/>
      <c r="BH173" s="7"/>
      <c r="BI173" s="7"/>
      <c r="BJ173" s="7"/>
      <c r="BK173" s="7"/>
      <c r="BL173" s="7"/>
      <c r="BM173" s="7"/>
      <c r="BN173" s="7"/>
      <c r="BO173" s="7"/>
    </row>
    <row r="174" spans="33:67" ht="19" customHeight="1" x14ac:dyDescent="0.3">
      <c r="AG174" s="50"/>
      <c r="AH174" s="50"/>
      <c r="AI174" s="50"/>
      <c r="AJ174" s="50"/>
      <c r="AK174" s="50"/>
      <c r="AL174" s="50"/>
      <c r="AM174" s="50"/>
      <c r="AN174" s="50"/>
      <c r="AO174" s="50"/>
      <c r="AP174" s="50"/>
      <c r="BG174" s="40"/>
      <c r="BH174" s="7"/>
      <c r="BI174" s="7"/>
      <c r="BJ174" s="7"/>
      <c r="BK174" s="7"/>
      <c r="BL174" s="7"/>
      <c r="BM174" s="7"/>
      <c r="BN174" s="7"/>
      <c r="BO174" s="7"/>
    </row>
    <row r="175" spans="33:67" ht="19" customHeight="1" x14ac:dyDescent="0.3">
      <c r="AG175" s="50"/>
      <c r="AH175" s="50"/>
      <c r="AI175" s="50"/>
      <c r="AJ175" s="50"/>
      <c r="AK175" s="50"/>
      <c r="AL175" s="50"/>
      <c r="AM175" s="50"/>
      <c r="AN175" s="50"/>
      <c r="AO175" s="50"/>
      <c r="AP175" s="50"/>
      <c r="BG175" s="40"/>
      <c r="BH175" s="7"/>
      <c r="BI175" s="7"/>
      <c r="BJ175" s="7"/>
      <c r="BK175" s="7"/>
      <c r="BL175" s="7"/>
      <c r="BM175" s="7"/>
      <c r="BN175" s="7"/>
      <c r="BO175" s="7"/>
    </row>
    <row r="176" spans="33:67" ht="19" customHeight="1" x14ac:dyDescent="0.3">
      <c r="AG176" s="50"/>
      <c r="AH176" s="50"/>
      <c r="AI176" s="50"/>
      <c r="AJ176" s="50"/>
      <c r="AK176" s="50"/>
      <c r="AL176" s="50"/>
      <c r="AM176" s="50"/>
      <c r="AN176" s="50"/>
      <c r="AO176" s="50"/>
      <c r="AP176" s="50"/>
      <c r="BG176" s="40"/>
      <c r="BH176" s="7"/>
      <c r="BI176" s="7"/>
      <c r="BJ176" s="7"/>
      <c r="BK176" s="7"/>
      <c r="BL176" s="7"/>
      <c r="BM176" s="7"/>
      <c r="BN176" s="7"/>
      <c r="BO176" s="7"/>
    </row>
    <row r="177" spans="33:67" ht="19" customHeight="1" x14ac:dyDescent="0.3">
      <c r="AG177" s="50"/>
      <c r="AH177" s="50"/>
      <c r="AI177" s="50"/>
      <c r="AJ177" s="50"/>
      <c r="AK177" s="50"/>
      <c r="AL177" s="50"/>
      <c r="AM177" s="50"/>
      <c r="AN177" s="50"/>
      <c r="AO177" s="50"/>
      <c r="AP177" s="50"/>
      <c r="BG177" s="40"/>
      <c r="BH177" s="7"/>
      <c r="BI177" s="7"/>
      <c r="BJ177" s="7"/>
      <c r="BK177" s="7"/>
      <c r="BL177" s="7"/>
      <c r="BM177" s="7"/>
      <c r="BN177" s="7"/>
      <c r="BO177" s="7"/>
    </row>
    <row r="178" spans="33:67" ht="19" customHeight="1" x14ac:dyDescent="0.3">
      <c r="AG178" s="50"/>
      <c r="AH178" s="50"/>
      <c r="AI178" s="50"/>
      <c r="AJ178" s="50"/>
      <c r="AK178" s="50"/>
      <c r="AL178" s="50"/>
      <c r="AM178" s="50"/>
      <c r="AN178" s="50"/>
      <c r="AO178" s="50"/>
      <c r="AP178" s="50"/>
      <c r="BG178" s="40"/>
      <c r="BH178" s="7"/>
      <c r="BI178" s="7"/>
      <c r="BJ178" s="7"/>
      <c r="BK178" s="7"/>
      <c r="BL178" s="7"/>
      <c r="BM178" s="7"/>
      <c r="BN178" s="7"/>
      <c r="BO178" s="7"/>
    </row>
    <row r="179" spans="33:67" ht="19" customHeight="1" x14ac:dyDescent="0.3">
      <c r="AG179" s="50"/>
      <c r="AH179" s="50"/>
      <c r="AI179" s="50"/>
      <c r="AJ179" s="50"/>
      <c r="AK179" s="50"/>
      <c r="AL179" s="50"/>
      <c r="AM179" s="50"/>
      <c r="AN179" s="50"/>
      <c r="AO179" s="50"/>
      <c r="AP179" s="50"/>
      <c r="BG179" s="40"/>
      <c r="BH179" s="7"/>
      <c r="BI179" s="7"/>
      <c r="BJ179" s="7"/>
      <c r="BK179" s="7"/>
      <c r="BL179" s="7"/>
      <c r="BM179" s="7"/>
      <c r="BN179" s="7"/>
      <c r="BO179" s="7"/>
    </row>
    <row r="180" spans="33:67" ht="19" customHeight="1" x14ac:dyDescent="0.3">
      <c r="AG180" s="50"/>
      <c r="AH180" s="50"/>
      <c r="AI180" s="50"/>
      <c r="AJ180" s="50"/>
      <c r="AK180" s="50"/>
      <c r="AL180" s="50"/>
      <c r="AM180" s="50"/>
      <c r="AN180" s="50"/>
      <c r="AO180" s="50"/>
      <c r="AP180" s="50"/>
      <c r="BG180" s="40"/>
      <c r="BH180" s="7"/>
      <c r="BI180" s="7"/>
      <c r="BJ180" s="7"/>
      <c r="BK180" s="7"/>
      <c r="BL180" s="7"/>
      <c r="BM180" s="7"/>
      <c r="BN180" s="7"/>
      <c r="BO180" s="7"/>
    </row>
    <row r="181" spans="33:67" ht="19" customHeight="1" x14ac:dyDescent="0.3">
      <c r="AG181" s="50"/>
      <c r="AH181" s="50"/>
      <c r="AI181" s="50"/>
      <c r="AJ181" s="50"/>
      <c r="AK181" s="50"/>
      <c r="AL181" s="50"/>
      <c r="AM181" s="50"/>
      <c r="AN181" s="50"/>
      <c r="AO181" s="50"/>
      <c r="AP181" s="50"/>
      <c r="BG181" s="40"/>
      <c r="BH181" s="7"/>
      <c r="BI181" s="7"/>
      <c r="BJ181" s="7"/>
      <c r="BK181" s="7"/>
      <c r="BL181" s="7"/>
      <c r="BM181" s="7"/>
      <c r="BN181" s="7"/>
      <c r="BO181" s="7"/>
    </row>
    <row r="182" spans="33:67" ht="19" customHeight="1" x14ac:dyDescent="0.3">
      <c r="AG182" s="50"/>
      <c r="AH182" s="50"/>
      <c r="AI182" s="50"/>
      <c r="AJ182" s="50"/>
      <c r="AK182" s="50"/>
      <c r="AL182" s="50"/>
      <c r="AM182" s="50"/>
      <c r="AN182" s="50"/>
      <c r="AO182" s="50"/>
      <c r="AP182" s="50"/>
      <c r="BG182" s="40"/>
      <c r="BH182" s="7"/>
      <c r="BI182" s="7"/>
      <c r="BJ182" s="7"/>
      <c r="BK182" s="7"/>
      <c r="BL182" s="7"/>
      <c r="BM182" s="7"/>
      <c r="BN182" s="7"/>
      <c r="BO182" s="7"/>
    </row>
    <row r="183" spans="33:67" ht="19" customHeight="1" x14ac:dyDescent="0.3">
      <c r="AG183" s="50"/>
      <c r="AH183" s="50"/>
      <c r="AI183" s="50"/>
      <c r="AJ183" s="50"/>
      <c r="AK183" s="50"/>
      <c r="AL183" s="50"/>
      <c r="AM183" s="50"/>
      <c r="AN183" s="50"/>
      <c r="AO183" s="50"/>
      <c r="AP183" s="50"/>
      <c r="BG183" s="40"/>
      <c r="BH183" s="7"/>
      <c r="BI183" s="7"/>
      <c r="BJ183" s="7"/>
      <c r="BK183" s="7"/>
      <c r="BL183" s="7"/>
      <c r="BM183" s="7"/>
      <c r="BN183" s="7"/>
      <c r="BO183" s="7"/>
    </row>
    <row r="184" spans="33:67" ht="19" customHeight="1" x14ac:dyDescent="0.3">
      <c r="AG184" s="50"/>
      <c r="AH184" s="50"/>
      <c r="AI184" s="50"/>
      <c r="AJ184" s="50"/>
      <c r="AK184" s="50"/>
      <c r="AL184" s="50"/>
      <c r="AM184" s="50"/>
      <c r="AN184" s="50"/>
      <c r="AO184" s="50"/>
      <c r="AP184" s="50"/>
      <c r="BG184" s="40"/>
      <c r="BH184" s="7"/>
      <c r="BI184" s="7"/>
      <c r="BJ184" s="7"/>
      <c r="BK184" s="7"/>
      <c r="BL184" s="7"/>
      <c r="BM184" s="7"/>
      <c r="BN184" s="7"/>
      <c r="BO184" s="7"/>
    </row>
    <row r="185" spans="33:67" ht="19" customHeight="1" x14ac:dyDescent="0.3">
      <c r="AG185" s="50"/>
      <c r="AH185" s="50"/>
      <c r="AI185" s="50"/>
      <c r="AJ185" s="50"/>
      <c r="AK185" s="50"/>
      <c r="AL185" s="50"/>
      <c r="AM185" s="50"/>
      <c r="AN185" s="50"/>
      <c r="AO185" s="50"/>
      <c r="AP185" s="50"/>
      <c r="BG185" s="40"/>
      <c r="BH185" s="7"/>
      <c r="BI185" s="7"/>
      <c r="BJ185" s="7"/>
      <c r="BK185" s="7"/>
      <c r="BL185" s="7"/>
      <c r="BM185" s="7"/>
      <c r="BN185" s="7"/>
      <c r="BO185" s="7"/>
    </row>
    <row r="186" spans="33:67" ht="19" customHeight="1" x14ac:dyDescent="0.3">
      <c r="AG186" s="50"/>
      <c r="AH186" s="50"/>
      <c r="AI186" s="50"/>
      <c r="AJ186" s="50"/>
      <c r="AK186" s="50"/>
      <c r="AL186" s="50"/>
      <c r="AM186" s="50"/>
      <c r="AN186" s="50"/>
      <c r="AO186" s="50"/>
      <c r="AP186" s="50"/>
      <c r="BG186" s="40"/>
      <c r="BH186" s="7"/>
      <c r="BI186" s="7"/>
      <c r="BJ186" s="7"/>
      <c r="BK186" s="7"/>
      <c r="BL186" s="7"/>
      <c r="BM186" s="7"/>
      <c r="BN186" s="7"/>
      <c r="BO186" s="7"/>
    </row>
    <row r="187" spans="33:67" ht="19" customHeight="1" x14ac:dyDescent="0.3">
      <c r="AG187" s="50"/>
      <c r="AH187" s="50"/>
      <c r="AI187" s="50"/>
      <c r="AJ187" s="50"/>
      <c r="AK187" s="50"/>
      <c r="AL187" s="50"/>
      <c r="AM187" s="50"/>
      <c r="AN187" s="50"/>
      <c r="AO187" s="50"/>
      <c r="AP187" s="50"/>
      <c r="BG187" s="40"/>
      <c r="BH187" s="7"/>
      <c r="BI187" s="7"/>
      <c r="BJ187" s="7"/>
      <c r="BK187" s="7"/>
      <c r="BL187" s="7"/>
      <c r="BM187" s="7"/>
      <c r="BN187" s="7"/>
      <c r="BO187" s="7"/>
    </row>
    <row r="188" spans="33:67" ht="19" customHeight="1" x14ac:dyDescent="0.3">
      <c r="AG188" s="50"/>
      <c r="AH188" s="50"/>
      <c r="AI188" s="50"/>
      <c r="AJ188" s="50"/>
      <c r="AK188" s="50"/>
      <c r="AL188" s="50"/>
      <c r="AM188" s="50"/>
      <c r="AN188" s="50"/>
      <c r="AO188" s="50"/>
      <c r="AP188" s="50"/>
      <c r="BG188" s="40"/>
      <c r="BH188" s="7"/>
      <c r="BI188" s="7"/>
      <c r="BJ188" s="7"/>
      <c r="BK188" s="7"/>
      <c r="BL188" s="7"/>
      <c r="BM188" s="7"/>
      <c r="BN188" s="7"/>
      <c r="BO188" s="7"/>
    </row>
    <row r="189" spans="33:67" ht="19" customHeight="1" x14ac:dyDescent="0.3">
      <c r="AG189" s="50"/>
      <c r="AH189" s="50"/>
      <c r="AI189" s="50"/>
      <c r="AJ189" s="50"/>
      <c r="AK189" s="50"/>
      <c r="AL189" s="50"/>
      <c r="AM189" s="50"/>
      <c r="AN189" s="50"/>
      <c r="AO189" s="50"/>
      <c r="AP189" s="50"/>
      <c r="BG189" s="40"/>
      <c r="BH189" s="7"/>
      <c r="BI189" s="7"/>
      <c r="BJ189" s="7"/>
      <c r="BK189" s="7"/>
      <c r="BL189" s="7"/>
      <c r="BM189" s="7"/>
      <c r="BN189" s="7"/>
      <c r="BO189" s="7"/>
    </row>
    <row r="190" spans="33:67" ht="19" customHeight="1" x14ac:dyDescent="0.3">
      <c r="AG190" s="50"/>
      <c r="AH190" s="50"/>
      <c r="AI190" s="50"/>
      <c r="AJ190" s="50"/>
      <c r="AK190" s="50"/>
      <c r="AL190" s="50"/>
      <c r="AM190" s="50"/>
      <c r="AN190" s="50"/>
      <c r="AO190" s="50"/>
      <c r="AP190" s="50"/>
      <c r="BG190" s="40"/>
      <c r="BH190" s="7"/>
      <c r="BI190" s="7"/>
      <c r="BJ190" s="7"/>
      <c r="BK190" s="7"/>
      <c r="BL190" s="7"/>
      <c r="BM190" s="7"/>
      <c r="BN190" s="7"/>
      <c r="BO190" s="7"/>
    </row>
    <row r="191" spans="33:67" ht="19" customHeight="1" x14ac:dyDescent="0.3">
      <c r="AG191" s="50"/>
      <c r="AH191" s="50"/>
      <c r="AI191" s="50"/>
      <c r="AJ191" s="50"/>
      <c r="AK191" s="50"/>
      <c r="AL191" s="50"/>
      <c r="AM191" s="50"/>
      <c r="AN191" s="50"/>
      <c r="AO191" s="50"/>
      <c r="AP191" s="50"/>
      <c r="BG191" s="40"/>
      <c r="BH191" s="7"/>
      <c r="BI191" s="7"/>
      <c r="BJ191" s="7"/>
      <c r="BK191" s="7"/>
      <c r="BL191" s="7"/>
      <c r="BM191" s="7"/>
      <c r="BN191" s="7"/>
      <c r="BO191" s="7"/>
    </row>
    <row r="192" spans="33:67" ht="19" customHeight="1" x14ac:dyDescent="0.3">
      <c r="AG192" s="50"/>
      <c r="AH192" s="50"/>
      <c r="AI192" s="50"/>
      <c r="AJ192" s="50"/>
      <c r="AK192" s="50"/>
      <c r="AL192" s="50"/>
      <c r="AM192" s="50"/>
      <c r="AN192" s="50"/>
      <c r="AO192" s="50"/>
      <c r="AP192" s="50"/>
      <c r="BG192" s="40"/>
      <c r="BH192" s="7"/>
      <c r="BI192" s="7"/>
      <c r="BJ192" s="7"/>
      <c r="BK192" s="7"/>
      <c r="BL192" s="7"/>
      <c r="BM192" s="7"/>
      <c r="BN192" s="7"/>
      <c r="BO192" s="7"/>
    </row>
    <row r="193" spans="33:67" ht="19" customHeight="1" x14ac:dyDescent="0.3">
      <c r="AG193" s="50"/>
      <c r="AH193" s="50"/>
      <c r="AI193" s="50"/>
      <c r="AJ193" s="50"/>
      <c r="AK193" s="50"/>
      <c r="AL193" s="50"/>
      <c r="AM193" s="50"/>
      <c r="AN193" s="50"/>
      <c r="AO193" s="50"/>
      <c r="AP193" s="50"/>
      <c r="BG193" s="40"/>
      <c r="BH193" s="7"/>
      <c r="BI193" s="7"/>
      <c r="BJ193" s="7"/>
      <c r="BK193" s="7"/>
      <c r="BL193" s="7"/>
      <c r="BM193" s="7"/>
      <c r="BN193" s="7"/>
      <c r="BO193" s="7"/>
    </row>
    <row r="194" spans="33:67" ht="19" customHeight="1" x14ac:dyDescent="0.3">
      <c r="AG194" s="50"/>
      <c r="AH194" s="50"/>
      <c r="AI194" s="50"/>
      <c r="AJ194" s="50"/>
      <c r="AK194" s="50"/>
      <c r="AL194" s="50"/>
      <c r="AM194" s="50"/>
      <c r="AN194" s="50"/>
      <c r="AO194" s="50"/>
      <c r="AP194" s="50"/>
      <c r="BG194" s="40"/>
      <c r="BH194" s="7"/>
      <c r="BI194" s="7"/>
      <c r="BJ194" s="7"/>
      <c r="BK194" s="7"/>
      <c r="BL194" s="7"/>
      <c r="BM194" s="7"/>
      <c r="BN194" s="7"/>
      <c r="BO194" s="7"/>
    </row>
    <row r="195" spans="33:67" ht="19" customHeight="1" x14ac:dyDescent="0.3">
      <c r="BG195" s="40"/>
      <c r="BH195" s="7"/>
      <c r="BI195" s="7"/>
      <c r="BJ195" s="7"/>
      <c r="BK195" s="7"/>
      <c r="BL195" s="7"/>
      <c r="BM195" s="7"/>
      <c r="BN195" s="7"/>
      <c r="BO195" s="7"/>
    </row>
    <row r="196" spans="33:67" ht="19" customHeight="1" x14ac:dyDescent="0.3">
      <c r="BG196" s="40"/>
      <c r="BH196" s="7"/>
      <c r="BI196" s="7"/>
      <c r="BJ196" s="7"/>
      <c r="BK196" s="7"/>
      <c r="BL196" s="7"/>
      <c r="BM196" s="7"/>
      <c r="BN196" s="7"/>
      <c r="BO196" s="7"/>
    </row>
    <row r="197" spans="33:67" ht="19" customHeight="1" x14ac:dyDescent="0.3">
      <c r="BG197" s="40"/>
      <c r="BH197" s="7"/>
      <c r="BI197" s="7"/>
      <c r="BJ197" s="7"/>
      <c r="BK197" s="7"/>
      <c r="BL197" s="7"/>
      <c r="BM197" s="7"/>
      <c r="BN197" s="7"/>
      <c r="BO197" s="7"/>
    </row>
    <row r="198" spans="33:67" ht="19" customHeight="1" x14ac:dyDescent="0.3">
      <c r="BG198" s="40"/>
      <c r="BH198" s="7"/>
      <c r="BI198" s="7"/>
      <c r="BJ198" s="7"/>
      <c r="BK198" s="7"/>
      <c r="BL198" s="7"/>
      <c r="BM198" s="7"/>
      <c r="BN198" s="7"/>
      <c r="BO198" s="7"/>
    </row>
    <row r="199" spans="33:67" ht="19" customHeight="1" x14ac:dyDescent="0.3">
      <c r="BG199" s="40"/>
      <c r="BH199" s="7"/>
      <c r="BI199" s="7"/>
      <c r="BJ199" s="7"/>
      <c r="BK199" s="7"/>
      <c r="BL199" s="7"/>
      <c r="BM199" s="7"/>
      <c r="BN199" s="7"/>
      <c r="BO199" s="7"/>
    </row>
    <row r="200" spans="33:67" ht="19" customHeight="1" x14ac:dyDescent="0.3">
      <c r="BG200" s="40"/>
      <c r="BH200" s="7"/>
      <c r="BI200" s="7"/>
      <c r="BJ200" s="7"/>
      <c r="BK200" s="7"/>
      <c r="BL200" s="7"/>
      <c r="BM200" s="7"/>
      <c r="BN200" s="7"/>
      <c r="BO200" s="7"/>
    </row>
    <row r="201" spans="33:67" ht="19" customHeight="1" x14ac:dyDescent="0.3">
      <c r="BG201" s="40"/>
      <c r="BH201" s="7"/>
      <c r="BI201" s="7"/>
      <c r="BJ201" s="7"/>
      <c r="BK201" s="7"/>
      <c r="BL201" s="7"/>
      <c r="BM201" s="7"/>
      <c r="BN201" s="7"/>
      <c r="BO201" s="7"/>
    </row>
    <row r="202" spans="33:67" ht="19" customHeight="1" x14ac:dyDescent="0.3">
      <c r="BG202" s="40"/>
      <c r="BH202" s="7"/>
      <c r="BI202" s="7"/>
      <c r="BJ202" s="7"/>
      <c r="BK202" s="7"/>
      <c r="BL202" s="7"/>
      <c r="BM202" s="7"/>
      <c r="BN202" s="7"/>
      <c r="BO202" s="7"/>
    </row>
    <row r="203" spans="33:67" ht="19" customHeight="1" x14ac:dyDescent="0.3">
      <c r="BG203" s="40"/>
      <c r="BH203" s="7"/>
      <c r="BI203" s="7"/>
      <c r="BJ203" s="7"/>
      <c r="BK203" s="7"/>
      <c r="BL203" s="7"/>
      <c r="BM203" s="7"/>
      <c r="BN203" s="7"/>
      <c r="BO203" s="7"/>
    </row>
    <row r="204" spans="33:67" ht="19" customHeight="1" x14ac:dyDescent="0.3">
      <c r="BG204" s="40"/>
      <c r="BH204" s="7"/>
      <c r="BI204" s="7"/>
      <c r="BJ204" s="7"/>
      <c r="BK204" s="7"/>
      <c r="BL204" s="7"/>
      <c r="BM204" s="7"/>
      <c r="BN204" s="7"/>
      <c r="BO204" s="7"/>
    </row>
    <row r="205" spans="33:67" ht="19" customHeight="1" x14ac:dyDescent="0.3">
      <c r="BG205" s="40"/>
      <c r="BH205" s="7"/>
      <c r="BI205" s="7"/>
      <c r="BJ205" s="7"/>
      <c r="BK205" s="7"/>
      <c r="BL205" s="7"/>
      <c r="BM205" s="7"/>
      <c r="BN205" s="7"/>
      <c r="BO205" s="7"/>
    </row>
    <row r="206" spans="33:67" ht="19" customHeight="1" x14ac:dyDescent="0.3">
      <c r="BG206" s="40"/>
      <c r="BH206" s="7"/>
      <c r="BI206" s="7"/>
      <c r="BJ206" s="7"/>
      <c r="BK206" s="7"/>
      <c r="BL206" s="7"/>
      <c r="BM206" s="7"/>
      <c r="BN206" s="7"/>
      <c r="BO206" s="7"/>
    </row>
    <row r="207" spans="33:67" ht="19" customHeight="1" x14ac:dyDescent="0.3">
      <c r="BG207" s="40"/>
      <c r="BH207" s="7"/>
      <c r="BI207" s="7"/>
      <c r="BJ207" s="7"/>
      <c r="BK207" s="7"/>
      <c r="BL207" s="7"/>
      <c r="BM207" s="7"/>
      <c r="BN207" s="7"/>
      <c r="BO207" s="7"/>
    </row>
    <row r="208" spans="33:67" ht="19" customHeight="1" x14ac:dyDescent="0.3">
      <c r="BG208" s="40"/>
      <c r="BH208" s="7"/>
      <c r="BI208" s="7"/>
      <c r="BJ208" s="7"/>
      <c r="BK208" s="7"/>
      <c r="BL208" s="7"/>
      <c r="BM208" s="7"/>
      <c r="BN208" s="7"/>
      <c r="BO208" s="7"/>
    </row>
    <row r="209" spans="59:67" ht="19" customHeight="1" x14ac:dyDescent="0.3">
      <c r="BG209" s="40"/>
      <c r="BH209" s="7"/>
      <c r="BI209" s="7"/>
      <c r="BJ209" s="7"/>
      <c r="BK209" s="7"/>
      <c r="BL209" s="7"/>
      <c r="BM209" s="7"/>
      <c r="BN209" s="7"/>
      <c r="BO209" s="7"/>
    </row>
    <row r="210" spans="59:67" ht="19" customHeight="1" x14ac:dyDescent="0.3">
      <c r="BG210" s="40"/>
      <c r="BH210" s="7"/>
      <c r="BI210" s="7"/>
      <c r="BJ210" s="7"/>
      <c r="BK210" s="7"/>
      <c r="BL210" s="7"/>
      <c r="BM210" s="7"/>
      <c r="BN210" s="7"/>
      <c r="BO210" s="7"/>
    </row>
    <row r="211" spans="59:67" ht="19" customHeight="1" x14ac:dyDescent="0.3">
      <c r="BG211" s="40"/>
      <c r="BH211" s="7"/>
      <c r="BI211" s="7"/>
      <c r="BJ211" s="7"/>
      <c r="BK211" s="7"/>
      <c r="BL211" s="7"/>
      <c r="BM211" s="7"/>
      <c r="BN211" s="7"/>
      <c r="BO211" s="7"/>
    </row>
    <row r="212" spans="59:67" ht="19" customHeight="1" x14ac:dyDescent="0.3">
      <c r="BG212" s="40"/>
      <c r="BH212" s="7"/>
      <c r="BI212" s="7"/>
      <c r="BJ212" s="7"/>
      <c r="BK212" s="7"/>
      <c r="BL212" s="7"/>
      <c r="BM212" s="7"/>
      <c r="BN212" s="7"/>
      <c r="BO212" s="7"/>
    </row>
    <row r="213" spans="59:67" ht="19" customHeight="1" x14ac:dyDescent="0.3">
      <c r="BG213" s="40"/>
      <c r="BH213" s="7"/>
      <c r="BI213" s="7"/>
      <c r="BJ213" s="7"/>
      <c r="BK213" s="7"/>
      <c r="BL213" s="7"/>
      <c r="BM213" s="7"/>
      <c r="BN213" s="7"/>
      <c r="BO213" s="7"/>
    </row>
    <row r="214" spans="59:67" ht="19" customHeight="1" x14ac:dyDescent="0.3">
      <c r="BG214" s="40"/>
      <c r="BH214" s="7"/>
      <c r="BI214" s="7"/>
      <c r="BJ214" s="7"/>
      <c r="BK214" s="7"/>
      <c r="BL214" s="7"/>
      <c r="BM214" s="7"/>
      <c r="BN214" s="7"/>
      <c r="BO214" s="7"/>
    </row>
    <row r="215" spans="59:67" ht="19" customHeight="1" x14ac:dyDescent="0.3">
      <c r="BG215" s="40"/>
      <c r="BH215" s="7"/>
      <c r="BI215" s="7"/>
      <c r="BJ215" s="7"/>
      <c r="BK215" s="7"/>
      <c r="BL215" s="7"/>
      <c r="BM215" s="7"/>
      <c r="BN215" s="7"/>
      <c r="BO215" s="7"/>
    </row>
    <row r="216" spans="59:67" ht="19" customHeight="1" x14ac:dyDescent="0.3">
      <c r="BG216" s="40"/>
      <c r="BH216" s="7"/>
      <c r="BI216" s="7"/>
      <c r="BJ216" s="7"/>
      <c r="BK216" s="7"/>
      <c r="BL216" s="7"/>
      <c r="BM216" s="7"/>
      <c r="BN216" s="7"/>
      <c r="BO216" s="7"/>
    </row>
    <row r="217" spans="59:67" ht="19" customHeight="1" x14ac:dyDescent="0.3">
      <c r="BG217" s="40"/>
      <c r="BH217" s="7"/>
      <c r="BI217" s="7"/>
      <c r="BJ217" s="7"/>
      <c r="BK217" s="7"/>
      <c r="BL217" s="7"/>
      <c r="BM217" s="7"/>
      <c r="BN217" s="7"/>
      <c r="BO217" s="7"/>
    </row>
    <row r="218" spans="59:67" ht="19" customHeight="1" x14ac:dyDescent="0.3">
      <c r="BG218" s="40"/>
      <c r="BH218" s="7"/>
      <c r="BI218" s="7"/>
      <c r="BJ218" s="7"/>
      <c r="BK218" s="7"/>
      <c r="BL218" s="7"/>
      <c r="BM218" s="7"/>
      <c r="BN218" s="7"/>
      <c r="BO218" s="7"/>
    </row>
    <row r="219" spans="59:67" ht="19" customHeight="1" x14ac:dyDescent="0.3">
      <c r="BG219" s="40"/>
      <c r="BH219" s="7"/>
      <c r="BI219" s="7"/>
      <c r="BJ219" s="7"/>
      <c r="BK219" s="7"/>
      <c r="BL219" s="7"/>
      <c r="BM219" s="7"/>
      <c r="BN219" s="7"/>
      <c r="BO219" s="7"/>
    </row>
    <row r="220" spans="59:67" ht="19" customHeight="1" x14ac:dyDescent="0.3">
      <c r="BG220" s="40"/>
      <c r="BH220" s="7"/>
      <c r="BI220" s="7"/>
      <c r="BJ220" s="7"/>
      <c r="BK220" s="7"/>
      <c r="BL220" s="7"/>
      <c r="BM220" s="7"/>
      <c r="BN220" s="7"/>
      <c r="BO220" s="7"/>
    </row>
    <row r="221" spans="59:67" ht="19" customHeight="1" x14ac:dyDescent="0.3">
      <c r="BG221" s="40"/>
      <c r="BH221" s="7"/>
      <c r="BI221" s="7"/>
      <c r="BJ221" s="7"/>
      <c r="BK221" s="7"/>
      <c r="BL221" s="7"/>
      <c r="BM221" s="7"/>
      <c r="BN221" s="7"/>
      <c r="BO221" s="7"/>
    </row>
    <row r="222" spans="59:67" ht="19" customHeight="1" x14ac:dyDescent="0.3">
      <c r="BG222" s="40"/>
      <c r="BH222" s="7"/>
      <c r="BI222" s="7"/>
      <c r="BJ222" s="7"/>
      <c r="BK222" s="7"/>
      <c r="BL222" s="7"/>
      <c r="BM222" s="7"/>
      <c r="BN222" s="7"/>
      <c r="BO222" s="7"/>
    </row>
  </sheetData>
  <mergeCells count="13">
    <mergeCell ref="BH141:BK141"/>
    <mergeCell ref="BL141:BO141"/>
    <mergeCell ref="BH94:BK94"/>
    <mergeCell ref="BL94:BO94"/>
    <mergeCell ref="BH110:BK110"/>
    <mergeCell ref="BL110:BO110"/>
    <mergeCell ref="BH125:BK125"/>
    <mergeCell ref="BL125:BO125"/>
    <mergeCell ref="Q14:AG14"/>
    <mergeCell ref="E14:I14"/>
    <mergeCell ref="K14:O14"/>
    <mergeCell ref="AI14:AM14"/>
    <mergeCell ref="AO14:BE14"/>
  </mergeCells>
  <phoneticPr fontId="7" type="noConversion"/>
  <pageMargins left="0.7" right="0.7" top="0.75" bottom="0.75" header="0.3" footer="0.3"/>
  <pageSetup paperSize="9" orientation="portrait" horizontalDpi="1200" verticalDpi="1200"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/>
</file>

<file path=docProps/custom.xml><?xml version="1.0" encoding="utf-8"?>
<Properties xmlns="http://schemas.openxmlformats.org/officeDocument/2006/custom-properties" xmlns:vt="http://schemas.openxmlformats.org/officeDocument/2006/docPropsVTypes"/>
</file>